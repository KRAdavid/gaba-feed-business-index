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016bcb87e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42dd70980cc943bc"/>
    <x:sheet xmlns:r="http://schemas.openxmlformats.org/officeDocument/2006/relationships" name="01_Readiness" sheetId="2" r:id="R300b186f22da4669"/>
    <x:sheet xmlns:r="http://schemas.openxmlformats.org/officeDocument/2006/relationships" name="02_Source_Register" sheetId="3" r:id="Rfb2cc58c71c9414f"/>
    <x:sheet xmlns:r="http://schemas.openxmlformats.org/officeDocument/2006/relationships" name="03_Unit_Economics" sheetId="4" r:id="Rea7ef15081b04f97"/>
    <x:sheet xmlns:r="http://schemas.openxmlformats.org/officeDocument/2006/relationships" name="04_Glossary" sheetId="5" r:id="R3629e592c9cf464f"/>
    <x:sheet xmlns:r="http://schemas.openxmlformats.org/officeDocument/2006/relationships" name="05_Update_Log" sheetId="6" r:id="R1f9a5cd704064c0c"/>
    <x:sheet xmlns:r="http://schemas.openxmlformats.org/officeDocument/2006/relationships" name="06_Business_Model" sheetId="7" r:id="R8b68ef5deeeb4168"/>
    <x:sheet xmlns:r="http://schemas.openxmlformats.org/officeDocument/2006/relationships" name="07_CareMix_Validation" sheetId="8" r:id="R2c771b2f2b3648c7"/>
    <x:sheet xmlns:r="http://schemas.openxmlformats.org/officeDocument/2006/relationships" name="99_Appendix" sheetId="9" r:id="R59b63c9cabbe4e43"/>
  </x:sheets>
</x:workbook>
</file>

<file path=xl/comments1.xml><?xml version="1.0" encoding="utf-8"?>
<x:comments xmlns:x="http://schemas.openxmlformats.org/spreadsheetml/2006/main">
  <x:authors>
    <x:author>tc={00F901E2-D371-42BE-5061-EEFE47E39850}</x:author>
    <x:author>tc={D2CDB177-3083-1368-D53E-0C417B7200B2}</x:author>
    <x:author>tc={24457F0A-9686-4144-C113-69EC1465852B}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원본에는 배양액 원가 400만원과 500kg 배치가 제시되지만 9,240원/kg까지의 건조·부형제·검사·수율 비용 연결이 보이지 않습니다.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75g/사료t은 제품 투입량인지 활성 GABA 투입량인지 확인해야 하며, 논문 용량과 직접 비교하려면 활성함량·제형·축종 정보가 필요합니다.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75g/사료t은 제품 투입량인지 활성 GABA 투입량인지 확인해야 하며, 논문 용량과 직접 비교하려면 활성함량·제형·축종 정보가 필요합니다.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#,##0.0"/>
    <x:numFmt numFmtId="203" formatCode="0.0%"/>
    <x:numFmt numFmtId="204" formatCode="0.000"/>
    <x:numFmt numFmtId="205" formatCode="#,##0"/>
  </x:numFmts>
  <x:fonts count="21">
    <x:font>
      <x:sz val="11"/>
      <x:name val="Carlito"/>
    </x:font>
    <x:font>
      <x:b/>
      <x:sz val="20"/>
      <x:color rgb="FFFFFFFF"/>
      <x:name val="Noto Sans KR"/>
    </x:font>
    <x:font>
      <x:sz val="10"/>
      <x:color rgb="FF0B6B50"/>
      <x:name val="Noto Sans KR"/>
    </x:font>
    <x:font>
      <x:b/>
      <x:sz val="28"/>
      <x:color rgb="FF0B6B50"/>
      <x:name val="Noto Sans KR"/>
    </x:font>
    <x:font>
      <x:b/>
      <x:sz val="22"/>
      <x:color rgb="FF315C75"/>
      <x:name val="Noto Sans KR"/>
    </x:font>
    <x:font>
      <x:b/>
      <x:sz val="28"/>
      <x:color rgb="FFB42318"/>
      <x:name val="Noto Sans KR"/>
    </x:font>
    <x:font>
      <x:b/>
      <x:sz val="16"/>
      <x:color rgb="FF17211B"/>
      <x:name val="Noto Sans KR"/>
    </x:font>
    <x:font>
      <x:b/>
      <x:sz val="10"/>
      <x:color rgb="FFFFFFFF"/>
      <x:name val="Noto Sans KR"/>
    </x:font>
    <x:font>
      <x:b/>
      <x:sz val="12"/>
      <x:color rgb="FFFFFFFF"/>
      <x:name val="Noto Sans KR"/>
    </x:font>
    <x:font>
      <x:sz val="10"/>
      <x:color rgb="FF17211B"/>
      <x:name val="Noto Sans KR"/>
    </x:font>
    <x:font>
      <x:b/>
      <x:sz val="10"/>
      <x:color rgb="FF0B6B50"/>
      <x:name val="Noto Sans KR"/>
    </x:font>
    <x:font>
      <x:b/>
      <x:sz val="10"/>
      <x:color rgb="FFB42318"/>
      <x:name val="Noto Sans KR"/>
    </x:font>
    <x:font>
      <x:b/>
      <x:sz val="10"/>
      <x:color rgb="FFB56A00"/>
      <x:name val="Noto Sans KR"/>
    </x:font>
    <x:font>
      <x:b/>
      <x:sz val="11"/>
      <x:color rgb="FF0B6B50"/>
      <x:name val="Noto Sans KR"/>
    </x:font>
    <x:font>
      <x:b/>
      <x:sz val="22"/>
      <x:color rgb="FFFFFFFF"/>
      <x:name val="Noto Sans KR"/>
    </x:font>
    <x:font>
      <x:b/>
      <x:sz val="14"/>
      <x:color rgb="FFFFFFFF"/>
      <x:name val="Noto Sans KR"/>
    </x:font>
    <x:font>
      <x:b/>
      <x:sz val="10"/>
      <x:color rgb="FF315C75"/>
      <x:name val="Noto Sans KR"/>
    </x:font>
    <x:font>
      <x:b/>
      <x:sz val="11"/>
      <x:color rgb="FFB56A00"/>
      <x:name val="Noto Sans KR"/>
    </x:font>
    <x:font>
      <x:b/>
      <x:sz val="15"/>
      <x:color rgb="FFFFFFFF"/>
      <x:name val="Noto Sans KR"/>
    </x:font>
    <x:font>
      <x:b/>
      <x:sz val="13"/>
      <x:color rgb="FF0B6B50"/>
      <x:name val="Noto Sans KR"/>
    </x:font>
    <x:font>
      <x:sz val="10"/>
      <x:color rgb="FFB56A00"/>
      <x:name val="Noto Sans KR"/>
    </x:font>
  </x:fonts>
  <x:fills count="11">
    <x:fill>
      <x:patternFill patternType="none"/>
    </x:fill>
    <x:fill>
      <x:patternFill patternType="gray125"/>
    </x:fill>
    <x:fill>
      <x:patternFill patternType="solid">
        <x:fgColor rgb="FF0B6B50"/>
      </x:patternFill>
    </x:fill>
    <x:fill>
      <x:patternFill patternType="solid">
        <x:fgColor rgb="FFEAF7F2"/>
      </x:patternFill>
    </x:fill>
    <x:fill>
      <x:patternFill patternType="solid">
        <x:fgColor rgb="FFEEF4F7"/>
      </x:patternFill>
    </x:fill>
    <x:fill>
      <x:patternFill patternType="solid">
        <x:fgColor rgb="FFFEF3F2"/>
      </x:patternFill>
    </x:fill>
    <x:fill>
      <x:patternFill patternType="solid">
        <x:fgColor rgb="FFF5F7F6"/>
      </x:patternFill>
    </x:fill>
    <x:fill>
      <x:patternFill patternType="solid">
        <x:fgColor rgb="FF17211B"/>
      </x:patternFill>
    </x:fill>
    <x:fill>
      <x:patternFill patternType="solid">
        <x:fgColor rgb="FFFFF4E5"/>
      </x:patternFill>
    </x:fill>
    <x:fill>
      <x:patternFill patternType="solid">
        <x:fgColor rgb="FF315C75"/>
      </x:patternFill>
    </x:fill>
    <x:fill>
      <x:patternFill patternType="solid">
        <x:fgColor rgb="FFB56A00"/>
      </x:patternFill>
    </x:fill>
  </x:fills>
  <x:borders count="7">
    <x:border/>
    <x:border>
      <x:left style="thin">
        <x:color rgb="FF17211B"/>
      </x:left>
      <x:top style="thin">
        <x:color rgb="FF17211B"/>
      </x:top>
      <x:bottom style="thin">
        <x:color rgb="FF17211B"/>
      </x:bottom>
    </x:border>
    <x:border>
      <x:top style="thin">
        <x:color rgb="FF17211B"/>
      </x:top>
      <x:bottom style="thin">
        <x:color rgb="FF17211B"/>
      </x:bottom>
    </x:border>
    <x:border>
      <x:right style="thin">
        <x:color rgb="FF17211B"/>
      </x:right>
      <x:top style="thin">
        <x:color rgb="FF17211B"/>
      </x:top>
      <x:bottom style="thin">
        <x:color rgb="FF17211B"/>
      </x:bottom>
    </x:border>
    <x:border>
      <x:bottom style="thin">
        <x:color rgb="FFD9E1DC"/>
      </x:bottom>
    </x:border>
    <x:border>
      <x:top style="thin">
        <x:color rgb="FFD9E1DC"/>
      </x:top>
    </x:border>
    <x:border>
      <x:top style="thin">
        <x:color rgb="FFD9E1DC"/>
      </x:top>
      <x:bottom style="thin">
        <x:color rgb="FFD9E1DC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0" fontId="6" fillId="6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201" fontId="9" fillId="0" borderId="6" xfId="0" applyNumberFormat="1" applyFont="1" applyFill="1" applyBorder="1" applyAlignment="1">
      <x:alignment vertical="center" wrapText="1"/>
    </x:xf>
    <x:xf numFmtId="201" fontId="9" fillId="0" borderId="5" xfId="0" applyNumberFormat="1" applyFont="1" applyFill="1" applyBorder="1" applyAlignment="1">
      <x:alignment vertical="center" wrapText="1"/>
    </x:xf>
    <x:xf numFmtId="200" fontId="9" fillId="0" borderId="4" xfId="0" applyNumberFormat="1" applyFont="1" applyFill="1" applyBorder="1" applyAlignment="1">
      <x:alignment vertical="center" wrapText="1"/>
    </x:xf>
    <x:xf numFmtId="200" fontId="9" fillId="0" borderId="6" xfId="0" applyNumberFormat="1" applyFont="1" applyFill="1" applyBorder="1" applyAlignment="1">
      <x:alignment vertical="center" wrapText="1"/>
    </x:xf>
    <x:xf numFmtId="200" fontId="9" fillId="0" borderId="5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202" fontId="9" fillId="0" borderId="4" xfId="0" applyNumberFormat="1" applyFont="1" applyFill="1" applyBorder="1" applyAlignment="1">
      <x:alignment vertical="center" wrapText="1"/>
    </x:xf>
    <x:xf numFmtId="202" fontId="9" fillId="0" borderId="6" xfId="0" applyNumberFormat="1" applyFont="1" applyFill="1" applyBorder="1" applyAlignment="1">
      <x:alignment vertical="center" wrapText="1"/>
    </x:xf>
    <x:xf numFmtId="202" fontId="9" fillId="0" borderId="5" xfId="0" applyNumberFormat="1" applyFont="1" applyFill="1" applyBorder="1" applyAlignment="1">
      <x:alignment vertical="center" wrapText="1"/>
    </x:xf>
    <x:xf numFmtId="203" fontId="9" fillId="0" borderId="6" xfId="0" applyNumberFormat="1" applyFont="1" applyFill="1" applyBorder="1" applyAlignment="1">
      <x:alignment vertical="center" wrapText="1"/>
    </x:xf>
    <x:xf numFmtId="204" fontId="9" fillId="0" borderId="6" xfId="0" applyNumberFormat="1" applyFont="1" applyFill="1" applyBorder="1" applyAlignment="1">
      <x:alignment vertical="center" wrapText="1"/>
    </x:xf>
    <x:xf numFmtId="202" fontId="9" fillId="8" borderId="4" xfId="0" applyNumberFormat="1" applyFont="1" applyFill="1" applyBorder="1" applyAlignment="1">
      <x:alignment vertical="center" wrapText="1"/>
    </x:xf>
    <x:xf numFmtId="202" fontId="9" fillId="8" borderId="6" xfId="0" applyNumberFormat="1" applyFont="1" applyFill="1" applyBorder="1" applyAlignment="1">
      <x:alignment vertical="center" wrapText="1"/>
    </x:xf>
    <x:xf numFmtId="204" fontId="9" fillId="8" borderId="6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16" fillId="4" borderId="4" xfId="0" applyNumberFormat="1" applyFont="1" applyFill="1" applyBorder="1" applyAlignment="1">
      <x:alignment vertical="center" wrapText="1"/>
    </x:xf>
    <x:xf numFmtId="0" fontId="16" fillId="4" borderId="6" xfId="0" applyNumberFormat="1" applyFont="1" applyFill="1" applyBorder="1" applyAlignment="1">
      <x:alignment vertical="center" wrapText="1"/>
    </x:xf>
    <x:xf numFmtId="0" fontId="16" fillId="4" borderId="5" xfId="0" applyNumberFormat="1" applyFont="1" applyFill="1" applyBorder="1" applyAlignment="1">
      <x:alignment vertical="center" wrapText="1"/>
    </x:xf>
    <x:xf numFmtId="205" fontId="9" fillId="0" borderId="4" xfId="0" applyNumberFormat="1" applyFont="1" applyFill="1" applyBorder="1" applyAlignment="1">
      <x:alignment vertical="center" wrapText="1"/>
    </x:xf>
    <x:xf numFmtId="205" fontId="9" fillId="0" borderId="5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vertical="center" wrapText="1"/>
    </x:xf>
    <x:xf numFmtId="0" fontId="19" fillId="3" borderId="0" xfId="0" applyNumberFormat="1" applyFont="1" applyFill="1" applyBorder="1"/>
    <x:xf numFmtId="0" fontId="19" fillId="3" borderId="0" xfId="0" applyNumberFormat="1" applyFont="1" applyFill="1" applyBorder="1" applyAlignment="1">
      <x:alignment wrapText="1"/>
    </x:xf>
    <x:xf numFmtId="0" fontId="19" fillId="3" borderId="0" xfId="0" applyNumberFormat="1" applyFont="1" applyFill="1" applyBorder="1" applyAlignment="1">
      <x:alignment horizontal="center" wrapText="1"/>
    </x:xf>
    <x:xf numFmtId="0" fontId="19" fillId="3" borderId="0" xfId="0" applyNumberFormat="1" applyFont="1" applyFill="1" applyBorder="1" applyAlignment="1">
      <x:alignment horizontal="center"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6" fillId="4" borderId="4" xfId="0" applyNumberFormat="1" applyFont="1" applyFill="1" applyBorder="1" applyAlignment="1">
      <x:alignment horizontal="center" vertical="center" wrapText="1"/>
    </x:xf>
    <x:xf numFmtId="0" fontId="16" fillId="4" borderId="6" xfId="0" applyNumberFormat="1" applyFont="1" applyFill="1" applyBorder="1" applyAlignment="1">
      <x:alignment horizontal="center" vertical="center" wrapText="1"/>
    </x:xf>
    <x:xf numFmtId="0" fontId="16" fillId="4" borderId="5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 vertical="center"/>
    </x:xf>
    <x:xf numFmtId="201" fontId="13" fillId="3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20" fillId="8" borderId="0" xfId="0" applyNumberFormat="1" applyFont="1" applyFill="1" applyBorder="1"/>
    <x:xf numFmtId="0" fontId="20" fillId="8" borderId="0" xfId="0" applyNumberFormat="1" applyFont="1" applyFill="1" applyBorder="1" applyAlignment="1">
      <x:alignment wrapText="1"/>
    </x:xf>
    <x:xf numFmtId="0" fontId="2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f57e9938043cd" /><Relationship Type="http://schemas.openxmlformats.org/officeDocument/2006/relationships/theme" Target="/xl/theme/theme1.xml" Id="Rfe8e6565cd85409e" /><Relationship Type="http://schemas.openxmlformats.org/officeDocument/2006/relationships/sharedStrings" Target="/xl/sharedStrings.xml" Id="R7e059fe120a5412c" /><Relationship Type="http://schemas.openxmlformats.org/officeDocument/2006/relationships/worksheet" Target="/xl/worksheets/sheet1.xml" Id="R42dd70980cc943bc" /><Relationship Type="http://schemas.openxmlformats.org/officeDocument/2006/relationships/worksheet" Target="/xl/worksheets/sheet2.xml" Id="R300b186f22da4669" /><Relationship Type="http://schemas.openxmlformats.org/officeDocument/2006/relationships/worksheet" Target="/xl/worksheets/sheet3.xml" Id="Rfb2cc58c71c9414f" /><Relationship Type="http://schemas.openxmlformats.org/officeDocument/2006/relationships/worksheet" Target="/xl/worksheets/sheet4.xml" Id="Rea7ef15081b04f97" /><Relationship Type="http://schemas.openxmlformats.org/officeDocument/2006/relationships/worksheet" Target="/xl/worksheets/sheet5.xml" Id="R3629e592c9cf464f" /><Relationship Type="http://schemas.openxmlformats.org/officeDocument/2006/relationships/worksheet" Target="/xl/worksheets/sheet6.xml" Id="R1f9a5cd704064c0c" /><Relationship Type="http://schemas.openxmlformats.org/officeDocument/2006/relationships/worksheet" Target="/xl/worksheets/sheet7.xml" Id="R8b68ef5deeeb4168" /><Relationship Type="http://schemas.openxmlformats.org/officeDocument/2006/relationships/worksheet" Target="/xl/worksheets/sheet8.xml" Id="R2c771b2f2b3648c7" /><Relationship Type="http://schemas.openxmlformats.org/officeDocument/2006/relationships/worksheet" Target="/xl/worksheets/sheet9.xml" Id="R59b63c9cabbe4e43" /><Relationship Type="http://schemas.microsoft.com/office/2017/10/relationships/person" Target="/xl/persons/person.xml" Id="R658fc5ea2cbc4750" /></Relationships>
</file>

<file path=xl/persons/person.xml><?xml version="1.0" encoding="utf-8"?>
<xltc:personList xmlns:xltc="http://schemas.microsoft.com/office/spreadsheetml/2018/threadedcomments">
  <xltc:person displayName="GABA Index" id="{3D9CF975-F509-4DDC-B459-E9391DC40C6D}"/>
</xltc:personList>
</file>

<file path=xl/tables/table1.xml><?xml version="1.0" encoding="utf-8"?>
<x:table xmlns:x="http://schemas.openxmlformats.org/spreadsheetml/2006/main" id="1" name="SourceRegisterTable" displayName="SourceRegisterTable" ref="A3:J13" headerRowCount="1" totalsRowCount="0" totalsRowShown="0">
  <x:tableColumns count="10">
    <x:tableColumn id="1" name="발행/기준일"/>
    <x:tableColumn id="2" name="카테고리"/>
    <x:tableColumn id="3" name="출처/신호"/>
    <x:tableColumn id="4" name="한 줄 의미"/>
    <x:tableColumn id="5" name="신뢰도"/>
    <x:tableColumn id="6" name="상태"/>
    <x:tableColumn id="7" name="다음 확인일"/>
    <x:tableColumn id="8" name="결정·다음 행동"/>
    <x:tableColumn id="9" name="URL/파일"/>
    <x:tableColumn id="10" name="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ssaryTable" displayName="GlossaryTable" ref="A3:C30" headerRowCount="1" totalsRowCount="0" totalsRowShown="0">
  <x:tableColumns count="3">
    <x:tableColumn id="1" name="약어/용어"/>
    <x:tableColumn id="2" name="쉬운 뜻"/>
    <x:tableColumn id="3" name="업무에서 이렇게 이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03T04:09:09.079" personId="{3D9CF975-F509-4DDC-B459-E9391DC40C6D}" id="{00F901E2-D371-42BE-5061-EEFE47E39850}">
    <xltc:text>원본에는 배양액 원가 400만원과 500kg 배치가 제시되지만 9,240원/kg까지의 건조·부형제·검사·수율 비용 연결이 보이지 않습니다.</xltc:text>
  </xltc:threadedComment>
  <xltc:threadedComment ref="B11" dT="2026-08-03T04:09:09.08" personId="{3D9CF975-F509-4DDC-B459-E9391DC40C6D}" id="{D2CDB177-3083-1368-D53E-0C417B7200B2}">
    <xltc:text>75g/사료t은 제품 투입량인지 활성 GABA 투입량인지 확인해야 하며, 논문 용량과 직접 비교하려면 활성함량·제형·축종 정보가 필요합니다.</xltc:text>
  </xltc:threadedComment>
  <xltc:threadedComment ref="B10" dT="2026-08-03T04:09:09.08" personId="{3D9CF975-F509-4DDC-B459-E9391DC40C6D}" id="{24457F0A-9686-4144-C113-69EC1465852B}">
    <xltc:text>75g/사료t은 제품 투입량인지 활성 GABA 투입량인지 확인해야 하며, 논문 용량과 직접 비교하려면 활성함량·제형·축종 정보가 필요합니다.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9bb2986973044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82c9c11b52814513" /><Relationship Type="http://schemas.openxmlformats.org/officeDocument/2006/relationships/vmlDrawing" Target="/xl/drawings/vmldrawing.vml" Id="Rcfa71d0055954260" /><Relationship Type="http://schemas.microsoft.com/office/2017/10/relationships/threadedComment" Target="/xl/threadedcomments/threadedcomment.xml" Id="Rc170eb87bd6442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26c997118e14c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6" hidden="0" customWidth="1"/>
    <x:col min="4" max="4" width="14" hidden="0" customWidth="1"/>
    <x:col min="5" max="5" width="15" hidden="0" customWidth="1"/>
    <x:col min="6" max="6" width="34" hidden="0" customWidth="1"/>
    <x:col min="7" max="7" width="14" hidden="0" customWidth="1"/>
    <x:col min="8" max="8" width="26" hidden="0" customWidth="1"/>
  </x:cols>
  <x:sheetData>
    <x:row r="1" ht="24" hidden="0" customHeight="1">
      <x:c r="A1" s="3" t="str">
        <x:v>GABA FEED BUSINESS MODEL INDEX</x:v>
      </x:c>
      <x:c r="B1" s="3" t="str">
        <x:v>GABA FEED BUSINESS MODEL INDEX</x:v>
      </x:c>
      <x:c r="C1" s="3" t="str">
        <x:v>GABA FEED BUSINESS MODEL INDEX</x:v>
      </x:c>
      <x:c r="D1" s="3" t="str">
        <x:v>GABA FEED BUSINESS MODEL INDEX</x:v>
      </x:c>
      <x:c r="E1" s="3" t="str">
        <x:v>GABA FEED BUSINESS MODEL INDEX</x:v>
      </x:c>
      <x:c r="F1" s="3" t="str">
        <x:v>GABA FEED BUSINESS MODEL INDEX</x:v>
      </x:c>
      <x:c r="G1" s="3" t="str">
        <x:v>GABA FEED BUSINESS MODEL INDEX</x:v>
      </x:c>
      <x:c r="H1" s="3" t="str">
        <x:v>GABA FEED BUSINESS MODEL INDEX</x:v>
      </x:c>
    </x:row>
    <x:row r="2" ht="15" hidden="0" customHeight="1">
      <x:c r="A2" s="6" t="str">
        <x:v>가바케어믹스를 비육 한우 브랜드 축산용 배합사료로 고도화하는 목표·KPI·근거·다음 행동을 확인하는 운영 원장</x:v>
      </x:c>
      <x:c r="B2" s="6" t="str">
        <x:v>가바케어믹스를 비육 한우 브랜드 축산용 배합사료로 고도화하는 목표·KPI·근거·다음 행동을 확인하는 운영 원장</x:v>
      </x:c>
      <x:c r="C2" s="6" t="str">
        <x:v>가바케어믹스를 비육 한우 브랜드 축산용 배합사료로 고도화하는 목표·KPI·근거·다음 행동을 확인하는 운영 원장</x:v>
      </x:c>
      <x:c r="D2" s="6" t="str">
        <x:v>가바케어믹스를 비육 한우 브랜드 축산용 배합사료로 고도화하는 목표·KPI·근거·다음 행동을 확인하는 운영 원장</x:v>
      </x:c>
      <x:c r="E2" s="6" t="str">
        <x:v>가바케어믹스를 비육 한우 브랜드 축산용 배합사료로 고도화하는 목표·KPI·근거·다음 행동을 확인하는 운영 원장</x:v>
      </x:c>
      <x:c r="F2" s="6" t="str">
        <x:v>가바케어믹스를 비육 한우 브랜드 축산용 배합사료로 고도화하는 목표·KPI·근거·다음 행동을 확인하는 운영 원장</x:v>
      </x:c>
      <x:c r="G2" s="6" t="str">
        <x:v>가바케어믹스를 비육 한우 브랜드 축산용 배합사료로 고도화하는 목표·KPI·근거·다음 행동을 확인하는 운영 원장</x:v>
      </x:c>
      <x:c r="H2" s="6" t="str">
        <x:v>가바케어믹스를 비육 한우 브랜드 축산용 배합사료로 고도화하는 목표·KPI·근거·다음 행동을 확인하는 운영 원장</x:v>
      </x:c>
    </x:row>
    <x:row r="3"/>
    <x:row r="4" ht="15" hidden="0" customHeight="1">
      <x:c r="A4" s="31" t="str">
        <x:v>준비도 점수</x:v>
      </x:c>
      <x:c r="B4" s="32" t="str">
        <x:v>준비도 점수</x:v>
      </x:c>
      <x:c r="C4" s="32" t="str">
        <x:v>현재 단계</x:v>
      </x:c>
      <x:c r="D4" s="32" t="str">
        <x:v>현재 단계</x:v>
      </x:c>
      <x:c r="E4" s="32" t="str">
        <x:v>우선 확인할 항목</x:v>
      </x:c>
      <x:c r="F4" s="32" t="str">
        <x:v>우선 확인할 항목</x:v>
      </x:c>
      <x:c r="G4" s="32" t="str">
        <x:v>기준일</x:v>
      </x:c>
      <x:c r="H4" s="33" t="str">
        <x:v>기준일</x:v>
      </x:c>
    </x:row>
    <x:row r="5">
      <x:c r="A5" s="9" t="n">
        <x:f>'01_Readiness'!C10</x:f>
        <x:v>41</x:v>
      </x:c>
      <x:c r="B5" s="9"/>
      <x:c r="C5" s="13" t="str">
        <x:f>'01_Readiness'!D10</x:f>
        <x:v>VALIDATE</x:v>
      </x:c>
      <x:c r="D5" s="13"/>
      <x:c r="E5" s="17" t="n">
        <x:v>4</x:v>
      </x:c>
      <x:c r="F5" s="17" t="n">
        <x:v>4</x:v>
      </x:c>
      <x:c r="G5" s="22" t="n">
        <x:v>46237</x:v>
      </x:c>
      <x:c r="H5" s="22" t="n">
        <x:v>46237</x:v>
      </x:c>
    </x:row>
    <x:row r="6">
      <x:c r="A6" s="9"/>
      <x:c r="B6" s="9"/>
      <x:c r="C6" s="13"/>
      <x:c r="D6" s="13"/>
      <x:c r="E6" s="17" t="n">
        <x:v>4</x:v>
      </x:c>
      <x:c r="F6" s="17" t="n">
        <x:v>4</x:v>
      </x:c>
      <x:c r="G6" s="22" t="n">
        <x:v>46237</x:v>
      </x:c>
      <x:c r="H6" s="22" t="n">
        <x:v>46237</x:v>
      </x:c>
    </x:row>
    <x:row r="7"/>
    <x:row r="8" ht="15" hidden="0" customHeight="1">
      <x:c r="A8" s="34" t="str">
        <x:v>두 사업의 역할</x:v>
      </x:c>
      <x:c r="B8" s="34" t="str">
        <x:v>두 사업의 역할</x:v>
      </x:c>
      <x:c r="C8" s="34" t="str">
        <x:v>두 사업의 역할</x:v>
      </x:c>
      <x:c r="D8" s="34" t="str">
        <x:v>두 사업의 역할</x:v>
      </x:c>
      <x:c r="E8" s="34" t="str">
        <x:v>두 사업의 역할</x:v>
      </x:c>
      <x:c r="F8" s="34" t="str">
        <x:v>두 사업의 역할</x:v>
      </x:c>
      <x:c r="G8" s="34" t="str">
        <x:v>두 사업의 역할</x:v>
      </x:c>
      <x:c r="H8" s="34" t="str">
        <x:v>두 사업의 역할</x:v>
      </x:c>
    </x:row>
    <x:row r="9" ht="36" hidden="0" customHeight="1">
      <x:c r="A9" s="40" t="str">
        <x:v>1</x:v>
      </x:c>
      <x:c r="B9" s="44" t="str">
        <x:v>가바크루드</x:v>
      </x:c>
      <x:c r="C9" s="40" t="str">
        <x:v>원료 사업</x:v>
      </x:c>
      <x:c r="D9" s="40" t="str">
        <x:v>GABA 20% 기준품·OEM 5~20%</x:v>
      </x:c>
      <x:c r="E9" s="40" t="str">
        <x:v>매출 방식</x:v>
      </x:c>
      <x:c r="F9" s="40" t="str">
        <x:v>기준품·주문형 원료 판매</x:v>
      </x:c>
      <x:c r="G9" s="40" t="str">
        <x:v>품질 초점</x:v>
      </x:c>
      <x:c r="H9" s="40" t="str">
        <x:v>활성함량·CoA·농도 규격</x:v>
      </x:c>
    </x:row>
    <x:row r="10" ht="24" hidden="0" customHeight="1">
      <x:c r="A10" s="41" t="str">
        <x:v>2</x:v>
      </x:c>
      <x:c r="B10" s="45" t="str">
        <x:v>가바케어믹스</x:v>
      </x:c>
      <x:c r="C10" s="41" t="str">
        <x:v>배합사료 사업</x:v>
      </x:c>
      <x:c r="D10" s="41" t="str">
        <x:v>비육 한우 브랜드 축산용 배합</x:v>
      </x:c>
      <x:c r="E10" s="41" t="str">
        <x:v>매출 방식</x:v>
      </x:c>
      <x:c r="F10" s="41" t="str">
        <x:v>배합사료·유료 농장 실증</x:v>
      </x:c>
      <x:c r="G10" s="41" t="str">
        <x:v>품질 초점</x:v>
      </x:c>
      <x:c r="H10" s="41" t="str">
        <x:v>육질·생산성·재현성</x:v>
      </x:c>
    </x:row>
    <x:row r="11"/>
    <x:row r="12" ht="15" hidden="0" customHeight="1">
      <x:c r="A12" s="46" t="str">
        <x:v>30일 안에 확인할 세 가지</x:v>
      </x:c>
      <x:c r="B12" s="46" t="str">
        <x:v>30일 안에 확인할 세 가지</x:v>
      </x:c>
      <x:c r="C12" s="46" t="str">
        <x:v>30일 안에 확인할 세 가지</x:v>
      </x:c>
      <x:c r="D12" s="46" t="str">
        <x:v>30일 안에 확인할 세 가지</x:v>
      </x:c>
      <x:c r="E12" s="46" t="str">
        <x:v>30일 안에 확인할 세 가지</x:v>
      </x:c>
      <x:c r="F12" s="46" t="str">
        <x:v>30일 안에 확인할 세 가지</x:v>
      </x:c>
      <x:c r="G12" s="46" t="str">
        <x:v>30일 안에 확인할 세 가지</x:v>
      </x:c>
      <x:c r="H12" s="46" t="str">
        <x:v>30일 안에 확인할 세 가지</x:v>
      </x:c>
    </x:row>
    <x:row r="13" ht="24" hidden="0" customHeight="1">
      <x:c r="A13" s="40" t="str">
        <x:v>1</x:v>
      </x:c>
      <x:c r="B13" s="40" t="str">
        <x:v>규제</x:v>
      </x:c>
      <x:c r="C13" s="40" t="str">
        <x:v>GABA·발효배양물의 품목분류와 등록경로</x:v>
      </x:c>
      <x:c r="D13" s="56" t="str">
        <x:v>미확정</x:v>
      </x:c>
      <x:c r="E13" s="40" t="str">
        <x:v>왜 중요한가</x:v>
      </x:c>
      <x:c r="F13" s="40" t="str">
        <x:v>분류가 틀리면 OEM·표시·영업주장을 진행할 수 없음</x:v>
      </x:c>
      <x:c r="G13" s="40" t="str">
        <x:v>다음 행동</x:v>
      </x:c>
      <x:c r="H13" s="40" t="str">
        <x:v>관할기관/전문가 사전검토</x:v>
      </x:c>
    </x:row>
    <x:row r="14" ht="24" hidden="0" customHeight="1">
      <x:c r="A14" s="49" t="str">
        <x:v>2</x:v>
      </x:c>
      <x:c r="B14" s="49" t="str">
        <x:v>제품</x:v>
      </x:c>
      <x:c r="C14" s="49" t="str">
        <x:v>가바케어믹스 규격·시험생산·3지점 시료</x:v>
      </x:c>
      <x:c r="D14" s="57" t="str">
        <x:v>미확정</x:v>
      </x:c>
      <x:c r="E14" s="49" t="str">
        <x:v>왜 중요한가</x:v>
      </x:c>
      <x:c r="F14" s="49" t="str">
        <x:v>활성함량·균일도·안정성이 맞아야 같은 제품으로 비교 가능</x:v>
      </x:c>
      <x:c r="G14" s="49" t="str">
        <x:v>다음 행동</x:v>
      </x:c>
      <x:c r="H14" s="49" t="str">
        <x:v>시험생산 1회 + 사전 규격 판정</x:v>
      </x:c>
    </x:row>
    <x:row r="15" ht="24" hidden="0" customHeight="1">
      <x:c r="A15" s="41" t="str">
        <x:v>3</x:v>
      </x:c>
      <x:c r="B15" s="41" t="str">
        <x:v>상업</x:v>
      </x:c>
      <x:c r="C15" s="41" t="str">
        <x:v>비육 한우 유료 농장 1곳과 발주서 1건</x:v>
      </x:c>
      <x:c r="D15" s="58" t="str">
        <x:v>미확정</x:v>
      </x:c>
      <x:c r="E15" s="41" t="str">
        <x:v>왜 중요한가</x:v>
      </x:c>
      <x:c r="F15" s="41" t="str">
        <x:v>30일 안에 효능을 확정하는 것이 아니라 측정 가능한 실증을 시작해야 함</x:v>
      </x:c>
      <x:c r="G15" s="41" t="str">
        <x:v>다음 행동</x:v>
      </x:c>
      <x:c r="H15" s="41" t="str">
        <x:v>계약·시험계획·기초 기록</x:v>
      </x:c>
    </x:row>
    <x:row r="16"/>
    <x:row r="17" ht="15" hidden="0" customHeight="1">
      <x:c r="A17" s="34" t="str">
        <x:v>업데이트 방법</x:v>
      </x:c>
      <x:c r="B17" s="34" t="str">
        <x:v>업데이트 방법</x:v>
      </x:c>
      <x:c r="C17" s="34" t="str">
        <x:v>업데이트 방법</x:v>
      </x:c>
      <x:c r="D17" s="34" t="str">
        <x:v>업데이트 방법</x:v>
      </x:c>
      <x:c r="E17" s="34" t="str">
        <x:v>업데이트 방법</x:v>
      </x:c>
      <x:c r="F17" s="34" t="str">
        <x:v>업데이트 방법</x:v>
      </x:c>
      <x:c r="G17" s="34" t="str">
        <x:v>업데이트 방법</x:v>
      </x:c>
      <x:c r="H17" s="34" t="str">
        <x:v>업데이트 방법</x:v>
      </x:c>
    </x:row>
    <x:row r="18" ht="24" hidden="0" customHeight="1">
      <x:c r="A18" s="40" t="str">
        <x:v>STEP 1</x:v>
      </x:c>
      <x:c r="B18" s="40" t="str">
        <x:v>02_Source_Register</x:v>
      </x:c>
      <x:c r="C18" s="40" t="str">
        <x:v>새 정책·논문·원가·고객 신호를 한 줄씩 추가</x:v>
      </x:c>
      <x:c r="D18" s="40" t="str"/>
      <x:c r="E18" s="40" t="str">
        <x:v>규칙</x:v>
      </x:c>
      <x:c r="F18" s="40" t="str">
        <x:v>날짜·판단·다음 행동·URL을 반드시 함께 기록</x:v>
      </x:c>
      <x:c r="G18" s="40" t="str"/>
      <x:c r="H18" s="40" t="str"/>
    </x:row>
    <x:row r="19" ht="24" hidden="0" customHeight="1">
      <x:c r="A19" s="49" t="str">
        <x:v>STEP 2</x:v>
      </x:c>
      <x:c r="B19" s="49" t="str">
        <x:v>01_Readiness</x:v>
      </x:c>
      <x:c r="C19" s="49" t="str">
        <x:v>근거가 생긴 항목만 점수를 올리고 미확인 사항을 갱신</x:v>
      </x:c>
      <x:c r="D19" s="49" t="str"/>
      <x:c r="E19" s="49" t="str">
        <x:v>규칙</x:v>
      </x:c>
      <x:c r="F19" s="49" t="str">
        <x:v>말·추정만으로는 점수를 올리지 않음</x:v>
      </x:c>
      <x:c r="G19" s="49" t="str"/>
      <x:c r="H19" s="49" t="str"/>
    </x:row>
    <x:row r="20" ht="24" hidden="0" customHeight="1">
      <x:c r="A20" s="49" t="str">
        <x:v>STEP 3</x:v>
      </x:c>
      <x:c r="B20" s="49" t="str">
        <x:v>03_Unit_Economics</x:v>
      </x:c>
      <x:c r="C20" s="49" t="str">
        <x:v>주황색 입력 셀에 최신 견적·용량·비용 반영</x:v>
      </x:c>
      <x:c r="D20" s="49" t="str"/>
      <x:c r="E20" s="49" t="str">
        <x:v>규칙</x:v>
      </x:c>
      <x:c r="F20" s="49" t="str">
        <x:v>파란/초록 계산 셀은 수정하지 않음</x:v>
      </x:c>
      <x:c r="G20" s="49" t="str"/>
      <x:c r="H20" s="49" t="str"/>
    </x:row>
    <x:row r="21" ht="24" hidden="0" customHeight="1">
      <x:c r="A21" s="41" t="str">
        <x:v>STEP 4</x:v>
      </x:c>
      <x:c r="B21" s="41" t="str">
        <x:v>05_Update_Log</x:v>
      </x:c>
      <x:c r="C21" s="41" t="str">
        <x:v>무엇이 바뀌었고 의사결정이 어떻게 달라졌는지 기록</x:v>
      </x:c>
      <x:c r="D21" s="41" t="str"/>
      <x:c r="E21" s="41" t="str">
        <x:v>규칙</x:v>
      </x:c>
      <x:c r="F21" s="41" t="str">
        <x:v>외부 공유 전 기준일과 검증 상태 확인</x:v>
      </x:c>
      <x:c r="G21" s="41" t="str"/>
      <x:c r="H21" s="41" t="str"/>
    </x:row>
    <x:row r="22"/>
    <x:row r="23">
      <x:c r="A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B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C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D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E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F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G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H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</x:row>
    <x:row r="24">
      <x:c r="A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B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C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D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E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F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G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H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2:H12"/>
    <x:mergeCell ref="A17:H17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14" hidden="0" customWidth="1"/>
    <x:col min="5" max="5" width="12" hidden="0" customWidth="1"/>
    <x:col min="6" max="6" width="26" hidden="0" customWidth="1"/>
    <x:col min="7" max="7" width="31" hidden="0" customWidth="1"/>
    <x:col min="8" max="8" width="27" hidden="0" customWidth="1"/>
    <x:col min="9" max="9" width="12" hidden="0" customWidth="1"/>
    <x:col min="10" max="10" width="13" hidden="0" customWidth="1"/>
  </x:cols>
  <x:sheetData>
    <x:row r="1" ht="24" hidden="0" customHeight="1">
      <x:c r="A1" s="3" t="str">
        <x:v>01 · READINESS SCORE</x:v>
      </x:c>
      <x:c r="B1" s="3" t="str">
        <x:v>01 · READINESS SCORE</x:v>
      </x:c>
      <x:c r="C1" s="3" t="str">
        <x:v>01 · READINESS SCORE</x:v>
      </x:c>
      <x:c r="D1" s="3" t="str">
        <x:v>01 · READINESS SCORE</x:v>
      </x:c>
      <x:c r="E1" s="3" t="str">
        <x:v>01 · READINESS SCORE</x:v>
      </x:c>
      <x:c r="F1" s="3" t="str">
        <x:v>01 · READINESS SCORE</x:v>
      </x:c>
      <x:c r="G1" s="3" t="str">
        <x:v>01 · READINESS SCORE</x:v>
      </x:c>
      <x:c r="H1" s="3" t="str">
        <x:v>01 · READINESS SCORE</x:v>
      </x:c>
      <x:c r="I1" s="3" t="str">
        <x:v>01 · READINESS SCORE</x:v>
      </x:c>
      <x:c r="J1" s="3" t="str">
        <x:v>01 · READINESS SCORE</x:v>
      </x:c>
    </x:row>
    <x:row r="2" ht="15" hidden="0" customHeight="1">
      <x:c r="A2" s="6" t="str">
        <x:v>0~100점: 미확인 항목은 보수적으로 낮게 평가하고 증빙이 연결될 때만 상향</x:v>
      </x:c>
      <x:c r="B2" s="6" t="str">
        <x:v>0~100점: 미확인 항목은 보수적으로 낮게 평가하고 증빙이 연결될 때만 상향</x:v>
      </x:c>
      <x:c r="C2" s="6" t="str">
        <x:v>0~100점: 미확인 항목은 보수적으로 낮게 평가하고 증빙이 연결될 때만 상향</x:v>
      </x:c>
      <x:c r="D2" s="6" t="str">
        <x:v>0~100점: 미확인 항목은 보수적으로 낮게 평가하고 증빙이 연결될 때만 상향</x:v>
      </x:c>
      <x:c r="E2" s="6" t="str">
        <x:v>0~100점: 미확인 항목은 보수적으로 낮게 평가하고 증빙이 연결될 때만 상향</x:v>
      </x:c>
      <x:c r="F2" s="6" t="str">
        <x:v>0~100점: 미확인 항목은 보수적으로 낮게 평가하고 증빙이 연결될 때만 상향</x:v>
      </x:c>
      <x:c r="G2" s="6" t="str">
        <x:v>0~100점: 미확인 항목은 보수적으로 낮게 평가하고 증빙이 연결될 때만 상향</x:v>
      </x:c>
      <x:c r="H2" s="6" t="str">
        <x:v>0~100점: 미확인 항목은 보수적으로 낮게 평가하고 증빙이 연결될 때만 상향</x:v>
      </x:c>
      <x:c r="I2" s="6" t="str">
        <x:v>0~100점: 미확인 항목은 보수적으로 낮게 평가하고 증빙이 연결될 때만 상향</x:v>
      </x:c>
      <x:c r="J2" s="6" t="str">
        <x:v>0~100점: 미확인 항목은 보수적으로 낮게 평가하고 증빙이 연결될 때만 상향</x:v>
      </x:c>
    </x:row>
    <x:row r="3" ht="15" hidden="0" customHeight="1">
      <x:c r="A3" s="31" t="str">
        <x:v>평가축</x:v>
      </x:c>
      <x:c r="B3" s="32" t="str">
        <x:v>배점</x:v>
      </x:c>
      <x:c r="C3" s="32" t="str">
        <x:v>현재점수</x:v>
      </x:c>
      <x:c r="D3" s="32" t="str">
        <x:v>진척률</x:v>
      </x:c>
      <x:c r="E3" s="32" t="str">
        <x:v>상태</x:v>
      </x:c>
      <x:c r="F3" s="32" t="str">
        <x:v>확인된 것</x:v>
      </x:c>
      <x:c r="G3" s="32" t="str">
        <x:v>미확인 사항</x:v>
      </x:c>
      <x:c r="H3" s="32" t="str">
        <x:v>다음 증빙</x:v>
      </x:c>
      <x:c r="I3" s="32" t="str">
        <x:v>오너</x:v>
      </x:c>
      <x:c r="J3" s="33" t="str">
        <x:v>목표일</x:v>
      </x:c>
    </x:row>
    <x:row r="4" ht="15" hidden="0" customHeight="1">
      <x:c r="A4" s="40" t="str">
        <x:v>규제·품목분류</x:v>
      </x:c>
      <x:c r="B4" s="40" t="n">
        <x:v>20</x:v>
      </x:c>
      <x:c r="C4" s="40" t="n">
        <x:v>6</x:v>
      </x:c>
      <x:c r="D4" s="63" t="n">
        <x:f>C4/B4</x:f>
        <x:v>0.3</x:v>
      </x:c>
      <x:c r="E4" s="40" t="str">
        <x:v>검증 필요</x:v>
      </x:c>
      <x:c r="F4" s="40" t="str">
        <x:v>현행 규정·심의절차 파악</x:v>
      </x:c>
      <x:c r="G4" s="40" t="str">
        <x:v>GABA/배양물 분류·등록경로 미확정</x:v>
      </x:c>
      <x:c r="H4" s="40" t="str">
        <x:v>사전검토 의견서와 표시 가능 문구 확정</x:v>
      </x:c>
      <x:c r="I4" s="40" t="str">
        <x:v>Reg/QA</x:v>
      </x:c>
      <x:c r="J4" s="66" t="n">
        <x:v>46244</x:v>
      </x:c>
    </x:row>
    <x:row r="5" ht="24" hidden="0" customHeight="1">
      <x:c r="A5" s="49" t="str">
        <x:v>제품근거·유효용량</x:v>
      </x:c>
      <x:c r="B5" s="49" t="n">
        <x:v>20</x:v>
      </x:c>
      <x:c r="C5" s="49" t="n">
        <x:v>8</x:v>
      </x:c>
      <x:c r="D5" s="64" t="n">
        <x:f>C5/B5</x:f>
        <x:v>0.4</x:v>
      </x:c>
      <x:c r="E5" s="49" t="str">
        <x:v>부분 근거</x:v>
      </x:c>
      <x:c r="F5" s="49" t="str">
        <x:v>축종별 논문 존재; 결과는 혼합</x:v>
      </x:c>
      <x:c r="G5" s="49" t="str">
        <x:v>활성함량·안정성·제형·원본 용량 연결 없음</x:v>
      </x:c>
      <x:c r="H5" s="49" t="str">
        <x:v>가바케어믹스 규격·시험생산·비육 한우 시험계획</x:v>
      </x:c>
      <x:c r="I5" s="49" t="str">
        <x:v>R&amp;D</x:v>
      </x:c>
      <x:c r="J5" s="67" t="n">
        <x:v>46258</x:v>
      </x:c>
    </x:row>
    <x:row r="6" ht="24" hidden="0" customHeight="1">
      <x:c r="A6" s="49" t="str">
        <x:v>공급·QA</x:v>
      </x:c>
      <x:c r="B6" s="49" t="n">
        <x:v>20</x:v>
      </x:c>
      <x:c r="C6" s="49" t="n">
        <x:v>12</x:v>
      </x:c>
      <x:c r="D6" s="64" t="n">
        <x:f>C6/B6</x:f>
        <x:v>0.6</x:v>
      </x:c>
      <x:c r="E6" s="49" t="str">
        <x:v>설계 완료</x:v>
      </x:c>
      <x:c r="F6" s="49" t="str">
        <x:v>1 SKU·FIFO·CoA·주문 후 OEM 흐름</x:v>
      </x:c>
      <x:c r="G6" s="49" t="str">
        <x:v>OEM 실사·견적·MOQ·리드타임·회수체계 미확정</x:v>
      </x:c>
      <x:c r="H6" s="49" t="str">
        <x:v>시험생산과 OEM QA 조건 확인</x:v>
      </x:c>
      <x:c r="I6" s="49" t="str">
        <x:v>SCM/QA</x:v>
      </x:c>
      <x:c r="J6" s="67" t="n">
        <x:v>46258</x:v>
      </x:c>
    </x:row>
    <x:row r="7" ht="24" hidden="0" customHeight="1">
      <x:c r="A7" s="49" t="str">
        <x:v>단위경제성</x:v>
      </x:c>
      <x:c r="B7" s="49" t="n">
        <x:v>20</x:v>
      </x:c>
      <x:c r="C7" s="49" t="n">
        <x:v>11</x:v>
      </x:c>
      <x:c r="D7" s="64" t="n">
        <x:f>C7/B7</x:f>
        <x:v>0.55</x:v>
      </x:c>
      <x:c r="E7" s="49" t="str">
        <x:v>가정 모델</x:v>
      </x:c>
      <x:c r="F7" s="49" t="str">
        <x:v>마스터·매트릭스 단위공헌과 손익분기 산식</x:v>
      </x:c>
      <x:c r="G7" s="49" t="str">
        <x:v>9,240원/kg·4,681.8원/kg 비용 근거 단절</x:v>
      </x:c>
      <x:c r="H7" s="49" t="str">
        <x:v>실제 견적과 시험생산 원가로 재산정</x:v>
      </x:c>
      <x:c r="I7" s="49" t="str">
        <x:v>Finance</x:v>
      </x:c>
      <x:c r="J7" s="67" t="n">
        <x:v>46258</x:v>
      </x:c>
    </x:row>
    <x:row r="8" ht="24" hidden="0" customHeight="1">
      <x:c r="A8" s="41" t="str">
        <x:v>상업검증</x:v>
      </x:c>
      <x:c r="B8" s="41" t="n">
        <x:v>20</x:v>
      </x:c>
      <x:c r="C8" s="41" t="n">
        <x:v>4</x:v>
      </x:c>
      <x:c r="D8" s="65" t="n">
        <x:f>C8/B8</x:f>
        <x:v>0.2</x:v>
      </x:c>
      <x:c r="E8" s="41" t="str">
        <x:v>미검증</x:v>
      </x:c>
      <x:c r="F8" s="41" t="str">
        <x:v>고객가치·반복주문 조건 정의</x:v>
      </x:c>
      <x:c r="G8" s="41" t="str">
        <x:v>유료 농장·발주서·시험계획서 없음</x:v>
      </x:c>
      <x:c r="H8" s="41" t="str">
        <x:v>비육 한우 유료 농장 1곳·발주서 1건·시험계획서</x:v>
      </x:c>
      <x:c r="I8" s="41" t="str">
        <x:v>Sales</x:v>
      </x:c>
      <x:c r="J8" s="68" t="n">
        <x:v>46267</x:v>
      </x:c>
    </x:row>
    <x:row r="9"/>
    <x:row r="10" ht="26.399999618530273" hidden="0" customHeight="1">
      <x:c r="A10" s="71" t="str">
        <x:v>GABA READINESS INDEX</x:v>
      </x:c>
      <x:c r="B10" s="71" t="str">
        <x:v>GABA READINESS INDEX</x:v>
      </x:c>
      <x:c r="C10" s="74" t="n">
        <x:f>SUM(C4:C8)</x:f>
        <x:v>41</x:v>
      </x:c>
      <x:c r="D10" s="77" t="str">
        <x:f>IF(C10&lt;40,"EXPLORE",IF(C10&lt;60,"VALIDATE",IF(C10&lt;80,"PILOT",IF(C10&lt;90,"SCALE","READY"))))</x:f>
        <x:v>VALIDATE</x:v>
      </x:c>
      <x:c r="E10" s="71" t="str">
        <x:v>현재 해석: 구조는 설계됐지만 규제·제품용량·OEM 원가·유료 반복주문을 확인하기 전에는 투자·납품 준비 단계로 볼 수 없음</x:v>
      </x:c>
      <x:c r="F10" s="71" t="str">
        <x:v>현재 해석: 구조는 설계됐지만 규제·제품용량·OEM 원가·유료 반복주문을 확인하기 전에는 투자·납품 준비 단계로 볼 수 없음</x:v>
      </x:c>
      <x:c r="G10" s="71" t="str">
        <x:v>현재 해석: 구조는 설계됐지만 규제·제품용량·OEM 원가·유료 반복주문을 확인하기 전에는 투자·납품 준비 단계로 볼 수 없음</x:v>
      </x:c>
      <x:c r="H10" s="71" t="str">
        <x:v>현재 해석: 구조는 설계됐지만 규제·제품용량·OEM 원가·유료 반복주문을 확인하기 전에는 투자·납품 준비 단계로 볼 수 없음</x:v>
      </x:c>
      <x:c r="I10" s="71" t="str">
        <x:v>현재 해석: 구조는 설계됐지만 규제·제품용량·OEM 원가·유료 반복주문을 확인하기 전에는 투자·납품 준비 단계로 볼 수 없음</x:v>
      </x:c>
      <x:c r="J10" s="71" t="str">
        <x:v>현재 해석: 구조는 설계됐지만 규제·제품용량·OEM 원가·유료 반복주문을 확인하기 전에는 투자·납품 준비 단계로 볼 수 없음</x:v>
      </x:c>
    </x:row>
    <x:row r="11"/>
    <x:row r="12" ht="15" hidden="0" customHeight="1">
      <x:c r="A12" s="31" t="str">
        <x:v>점수구간</x:v>
      </x:c>
      <x:c r="B12" s="32" t="str">
        <x:v>0~39</x:v>
      </x:c>
      <x:c r="C12" s="32" t="str">
        <x:v>40~59</x:v>
      </x:c>
      <x:c r="D12" s="32" t="str">
        <x:v>60~79</x:v>
      </x:c>
      <x:c r="E12" s="32" t="str">
        <x:v>80~89</x:v>
      </x:c>
      <x:c r="F12" s="33" t="str">
        <x:v>90~100</x:v>
      </x:c>
      <x:c r="G12" t="str"/>
      <x:c r="H12" t="str"/>
      <x:c r="I12" t="str"/>
      <x:c r="J12" t="str"/>
    </x:row>
    <x:row r="13" ht="15" hidden="0" customHeight="1">
      <x:c r="A13" s="49" t="str">
        <x:v>단계</x:v>
      </x:c>
      <x:c r="B13" s="49" t="str">
        <x:v>EXPLORE</x:v>
      </x:c>
      <x:c r="C13" s="49" t="str">
        <x:v>VALIDATE</x:v>
      </x:c>
      <x:c r="D13" s="49" t="str">
        <x:v>PILOT</x:v>
      </x:c>
      <x:c r="E13" s="49" t="str">
        <x:v>SCALE</x:v>
      </x:c>
      <x:c r="F13" s="49" t="str">
        <x:v>READY</x:v>
      </x:c>
      <x:c r="G13" t="str"/>
      <x:c r="H13" t="str"/>
      <x:c r="I13" t="str"/>
      <x:c r="J13" t="str"/>
    </x:row>
    <x:row r="14" ht="24" hidden="0" customHeight="1">
      <x:c r="A14" s="49" t="str">
        <x:v>판단</x:v>
      </x:c>
      <x:c r="B14" s="49" t="str">
        <x:v>문제·가설</x:v>
      </x:c>
      <x:c r="C14" s="49" t="str">
        <x:v>근거·경로 확인</x:v>
      </x:c>
      <x:c r="D14" s="49" t="str">
        <x:v>고객·공장 실증</x:v>
      </x:c>
      <x:c r="E14" s="49" t="str">
        <x:v>반복 확대</x:v>
      </x:c>
      <x:c r="F14" s="49" t="str">
        <x:v>투자·계약 준비</x:v>
      </x:c>
      <x:c r="G14" t="str"/>
      <x:c r="H14" t="str"/>
      <x:c r="I14" t="str"/>
      <x:c r="J14" t="str"/>
    </x:row>
    <x:row r="15" ht="24" hidden="0" customHeight="1">
      <x:c r="A15" s="41" t="str">
        <x:v>최소 증빙</x:v>
      </x:c>
      <x:c r="B15" s="41" t="str">
        <x:v>가설문서</x:v>
      </x:c>
      <x:c r="C15" s="41" t="str">
        <x:v>분류·CoA·견적</x:v>
      </x:c>
      <x:c r="D15" s="41" t="str">
        <x:v>유료 PoV</x:v>
      </x:c>
      <x:c r="E15" s="41" t="str">
        <x:v>반복 PO</x:v>
      </x:c>
      <x:c r="F15" s="41" t="str">
        <x:v>감사 가능한 데이터룸</x:v>
      </x:c>
      <x:c r="G15" t="str"/>
      <x:c r="H15" t="str"/>
      <x:c r="I15" t="str"/>
      <x:c r="J15" t="str"/>
    </x:row>
  </x:sheetData>
  <x:mergeCells>
    <x:mergeCell ref="A1:J1"/>
    <x:mergeCell ref="A2:J2"/>
    <x:mergeCell ref="A10:B10"/>
    <x:mergeCell ref="E10:J10"/>
  </x:mergeCells>
  <x:dataValidations count="2">
    <x:dataValidation type="whole" operator="between" sqref="C4:C8">
      <x:formula1>0</x:formula1>
      <x:formula2>20</x:formula2>
    </x:dataValidation>
    <x:dataValidation type="list" sqref="E4:E8">
      <x:formula1>"미검증,검증 필요,부분 근거,가정 모델,설계 완료,검증 완료"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36" hidden="0" customWidth="1"/>
    <x:col min="5" max="5" width="10" hidden="0" customWidth="1"/>
    <x:col min="6" max="6" width="12" hidden="0" customWidth="1"/>
    <x:col min="7" max="7" width="13" hidden="0" customWidth="1"/>
    <x:col min="8" max="8" width="35" hidden="0" customWidth="1"/>
    <x:col min="9" max="9" width="48" hidden="0" customWidth="1"/>
    <x:col min="10" max="10" width="32" hidden="0" customWidth="1"/>
  </x:cols>
  <x:sheetData>
    <x:row r="1" ht="24" hidden="0" customHeight="1">
      <x:c r="A1" s="3" t="str">
        <x:v>02 · SOURCE REGISTER</x:v>
      </x:c>
      <x:c r="B1" s="3" t="str">
        <x:v>02 · SOURCE REGISTER</x:v>
      </x:c>
      <x:c r="C1" s="3" t="str">
        <x:v>02 · SOURCE REGISTER</x:v>
      </x:c>
      <x:c r="D1" s="3" t="str">
        <x:v>02 · SOURCE REGISTER</x:v>
      </x:c>
      <x:c r="E1" s="3" t="str">
        <x:v>02 · SOURCE REGISTER</x:v>
      </x:c>
      <x:c r="F1" s="3" t="str">
        <x:v>02 · SOURCE REGISTER</x:v>
      </x:c>
      <x:c r="G1" s="3" t="str">
        <x:v>02 · SOURCE REGISTER</x:v>
      </x:c>
      <x:c r="H1" s="3" t="str">
        <x:v>02 · SOURCE REGISTER</x:v>
      </x:c>
      <x:c r="I1" s="3" t="str">
        <x:v>02 · SOURCE REGISTER</x:v>
      </x:c>
      <x:c r="J1" s="3" t="str">
        <x:v>02 · SOURCE REGISTER</x:v>
      </x:c>
    </x:row>
    <x:row r="2" ht="15" hidden="0" customHeight="1">
      <x:c r="A2" s="6" t="str">
        <x:v>정책·산업·제품근거·원가 신호를 판단과 다음 행동까지 한 줄로 관리</x:v>
      </x:c>
      <x:c r="B2" s="6" t="str">
        <x:v>정책·산업·제품근거·원가 신호를 판단과 다음 행동까지 한 줄로 관리</x:v>
      </x:c>
      <x:c r="C2" s="6" t="str">
        <x:v>정책·산업·제품근거·원가 신호를 판단과 다음 행동까지 한 줄로 관리</x:v>
      </x:c>
      <x:c r="D2" s="6" t="str">
        <x:v>정책·산업·제품근거·원가 신호를 판단과 다음 행동까지 한 줄로 관리</x:v>
      </x:c>
      <x:c r="E2" s="6" t="str">
        <x:v>정책·산업·제품근거·원가 신호를 판단과 다음 행동까지 한 줄로 관리</x:v>
      </x:c>
      <x:c r="F2" s="6" t="str">
        <x:v>정책·산업·제품근거·원가 신호를 판단과 다음 행동까지 한 줄로 관리</x:v>
      </x:c>
      <x:c r="G2" s="6" t="str">
        <x:v>정책·산업·제품근거·원가 신호를 판단과 다음 행동까지 한 줄로 관리</x:v>
      </x:c>
      <x:c r="H2" s="6" t="str">
        <x:v>정책·산업·제품근거·원가 신호를 판단과 다음 행동까지 한 줄로 관리</x:v>
      </x:c>
      <x:c r="I2" s="6" t="str">
        <x:v>정책·산업·제품근거·원가 신호를 판단과 다음 행동까지 한 줄로 관리</x:v>
      </x:c>
      <x:c r="J2" s="6" t="str">
        <x:v>정책·산업·제품근거·원가 신호를 판단과 다음 행동까지 한 줄로 관리</x:v>
      </x:c>
    </x:row>
    <x:row r="3" ht="15" hidden="0" customHeight="1">
      <x:c r="A3" s="31" t="str">
        <x:v>발행/기준일</x:v>
      </x:c>
      <x:c r="B3" s="32" t="str">
        <x:v>카테고리</x:v>
      </x:c>
      <x:c r="C3" s="32" t="str">
        <x:v>출처/신호</x:v>
      </x:c>
      <x:c r="D3" s="32" t="str">
        <x:v>한 줄 의미</x:v>
      </x:c>
      <x:c r="E3" s="32" t="str">
        <x:v>신뢰도</x:v>
      </x:c>
      <x:c r="F3" s="32" t="str">
        <x:v>상태</x:v>
      </x:c>
      <x:c r="G3" s="32" t="str">
        <x:v>다음 확인일</x:v>
      </x:c>
      <x:c r="H3" s="32" t="str">
        <x:v>결정·다음 행동</x:v>
      </x:c>
      <x:c r="I3" s="32" t="str">
        <x:v>URL/파일</x:v>
      </x:c>
      <x:c r="J3" s="33" t="str">
        <x:v>주의사항</x:v>
      </x:c>
    </x:row>
    <x:row r="4" ht="24" hidden="0" customHeight="1">
      <x:c r="A4" s="66" t="n">
        <x:v>46237</x:v>
      </x:c>
      <x:c r="B4" s="40" t="str">
        <x:v>내부 모델</x:v>
      </x:c>
      <x:c r="C4" s="40" t="str">
        <x:v>원본 사업모델</x:v>
      </x:c>
      <x:c r="D4" s="40" t="str">
        <x:v>20% 마스터 1 SKU + 주문형 OEM 구조와 단위경제성 가정</x:v>
      </x:c>
      <x:c r="E4" s="40" t="str">
        <x:v>높음</x:v>
      </x:c>
      <x:c r="F4" s="40" t="str">
        <x:v>검증 필요</x:v>
      </x:c>
      <x:c r="G4" s="66" t="n">
        <x:v>46251</x:v>
      </x:c>
      <x:c r="H4" s="40" t="str">
        <x:v>원가·유효용량·OEM 견적의 근거문서 연결</x:v>
      </x:c>
      <x:c r="I4" s="40" t="str">
        <x:v>GABA_20_Master_Inventory_OEM_Make_to_Order_Business_Model_v5.pptx</x:v>
      </x:c>
      <x:c r="J4" s="40" t="str">
        <x:v>원본 가정은 실적이 아님</x:v>
      </x:c>
    </x:row>
    <x:row r="5" ht="24" hidden="0" customHeight="1">
      <x:c r="A5" s="67" t="n">
        <x:v>45383</x:v>
      </x:c>
      <x:c r="B5" s="49" t="str">
        <x:v>정책·규제</x:v>
      </x:c>
      <x:c r="C5" s="49" t="str">
        <x:v>사료 등의 기준 및 규격</x:v>
      </x:c>
      <x:c r="D5" s="49" t="str">
        <x:v>현행 품목·기준·표시·등록 검토의 출발점</x:v>
      </x:c>
      <x:c r="E5" s="49" t="str">
        <x:v>높음</x:v>
      </x:c>
      <x:c r="F5" s="49" t="str">
        <x:v>상시</x:v>
      </x:c>
      <x:c r="G5" s="67" t="n">
        <x:v>46266</x:v>
      </x:c>
      <x:c r="H5" s="49" t="str">
        <x:v>GABA 및 발효배양물의 법적 품목분류 사전검토</x:v>
      </x:c>
      <x:c r="I5" s="49" t="str">
        <x:v>https://www.law.go.kr/행정규칙/사료%20등의%20기준%20및%20규격</x:v>
      </x:c>
      <x:c r="J5" s="49" t="str">
        <x:v>GABA 명시 허용 여부는 별도 확인 필요</x:v>
      </x:c>
    </x:row>
    <x:row r="6" ht="24" hidden="0" customHeight="1">
      <x:c r="A6" s="67" t="n">
        <x:v>45250</x:v>
      </x:c>
      <x:c r="B6" s="49" t="str">
        <x:v>정책·규제</x:v>
      </x:c>
      <x:c r="C6" s="49" t="str">
        <x:v>사료공정심의위원회 운영규정</x:v>
      </x:c>
      <x:c r="D6" s="49" t="str">
        <x:v>신규·변경 물질은 제조방법, 안전성, 품질, 첨가수준 자료가 핵심</x:v>
      </x:c>
      <x:c r="E6" s="49" t="str">
        <x:v>높음</x:v>
      </x:c>
      <x:c r="F6" s="49" t="str">
        <x:v>상시</x:v>
      </x:c>
      <x:c r="G6" s="67" t="n">
        <x:v>46266</x:v>
      </x:c>
      <x:c r="H6" s="49" t="str">
        <x:v>심의 필요 여부와 제출자료 목록 확정</x:v>
      </x:c>
      <x:c r="I6" s="49" t="str">
        <x:v>https://www.law.go.kr/LSW/admRulInfoP.do?admRulSeq=2100000231582&amp;chrClsCd=010201</x:v>
      </x:c>
      <x:c r="J6" s="49" t="str">
        <x:v>법률 자문이 아닌 실행 체크리스트</x:v>
      </x:c>
    </x:row>
    <x:row r="7" ht="24" hidden="0" customHeight="1">
      <x:c r="A7" s="67" t="n">
        <x:v>46199</x:v>
      </x:c>
      <x:c r="B7" s="49" t="str">
        <x:v>정책·규제</x:v>
      </x:c>
      <x:c r="C7" s="49" t="str">
        <x:v>단미사료 기준·규격 변경등록 공고</x:v>
      </x:c>
      <x:c r="D7" s="49" t="str">
        <x:v>품목 기준은 추가·변경 등록될 수 있어 월별 모니터링 필요</x:v>
      </x:c>
      <x:c r="E7" s="49" t="str">
        <x:v>높음</x:v>
      </x:c>
      <x:c r="F7" s="49" t="str">
        <x:v>모니터링</x:v>
      </x:c>
      <x:c r="G7" s="67" t="n">
        <x:v>46260</x:v>
      </x:c>
      <x:c r="H7" s="49" t="str">
        <x:v>GABA 관련 신규 공고 여부 확인</x:v>
      </x:c>
      <x:c r="I7" s="49" t="str">
        <x:v>https://www.mafra.go.kr/bbs/home/791/578277/artclView.do</x:v>
      </x:c>
      <x:c r="J7" s="49" t="str">
        <x:v>공고 내용 자체가 GABA 승인 의미는 아님</x:v>
      </x:c>
    </x:row>
    <x:row r="8" ht="24" hidden="0" customHeight="1">
      <x:c r="A8" s="67" t="n">
        <x:v>46171</x:v>
      </x:c>
      <x:c r="B8" s="49" t="str">
        <x:v>정책·시장</x:v>
      </x:c>
      <x:c r="C8" s="49" t="str">
        <x:v>2026 저탄소 농업 프로그램(축산)</x:v>
      </x:c>
      <x:c r="D8" s="49" t="str">
        <x:v>저메탄·질소저감 사료 급여에 비용 지원; 인정 기준 충족 제품만 해당</x:v>
      </x:c>
      <x:c r="E8" s="49" t="str">
        <x:v>높음</x:v>
      </x:c>
      <x:c r="F8" s="49" t="str">
        <x:v>기회</x:v>
      </x:c>
      <x:c r="G8" s="67" t="n">
        <x:v>46296</x:v>
      </x:c>
      <x:c r="H8" s="49" t="str">
        <x:v>GABA 제품을 저탄소 사료로 홍보하지 않도록 주장 분리</x:v>
      </x:c>
      <x:c r="I8" s="49" t="str">
        <x:v>https://www.mafra.go.kr/bbs/home/791/597692/download.do</x:v>
      </x:c>
      <x:c r="J8" s="49" t="str">
        <x:v>GABA와 저메탄 효과는 별도 검증 사안</x:v>
      </x:c>
    </x:row>
    <x:row r="9" ht="24" hidden="0" customHeight="1">
      <x:c r="A9" s="67" t="n">
        <x:v>46097</x:v>
      </x:c>
      <x:c r="B9" s="49" t="str">
        <x:v>산업·품질</x:v>
      </x:c>
      <x:c r="C9" s="49" t="str">
        <x:v>사료 원료·배합사료 ASF 방역 강화</x:v>
      </x:c>
      <x:c r="D9" s="49" t="str">
        <x:v>원료 추적, 검사, 회수 체계가 OEM 선정의 핵심 평가항목으로 부상</x:v>
      </x:c>
      <x:c r="E9" s="49" t="str">
        <x:v>높음</x:v>
      </x:c>
      <x:c r="F9" s="49" t="str">
        <x:v>주의</x:v>
      </x:c>
      <x:c r="G9" s="67" t="n">
        <x:v>46281</x:v>
      </x:c>
      <x:c r="H9" s="49" t="str">
        <x:v>OEM 실사표에 원료 추적·회수·병원체 관리 추가</x:v>
      </x:c>
      <x:c r="I9" s="49" t="str">
        <x:v>https://www.mafra.go.kr/bbs/home/792/577302/artclView.do</x:v>
      </x:c>
      <x:c r="J9" s="49" t="str">
        <x:v>돼지혈액 원료 사례; GABA 원료와 직접 동일하지 않음</x:v>
      </x:c>
    </x:row>
    <x:row r="10" ht="24" hidden="0" customHeight="1">
      <x:c r="A10" s="67" t="n">
        <x:v>46205</x:v>
      </x:c>
      <x:c r="B10" s="49" t="str">
        <x:v>산업·원가</x:v>
      </x:c>
      <x:c r="C10" s="49" t="str">
        <x:v>KREI 국제곡물 2026년 7월호</x:v>
      </x:c>
      <x:c r="D10" s="49" t="str">
        <x:v>수입 곡물과 환율 신호는 고객의 첨가제 예산·가격민감도에 영향</x:v>
      </x:c>
      <x:c r="E10" s="49" t="str">
        <x:v>중간</x:v>
      </x:c>
      <x:c r="F10" s="49" t="str">
        <x:v>모니터링</x:v>
      </x:c>
      <x:c r="G10" s="67" t="n">
        <x:v>46244</x:v>
      </x:c>
      <x:c r="H10" s="49" t="str">
        <x:v>옥수수·대두박·환율 3개 신호 월별 업데이트</x:v>
      </x:c>
      <x:c r="I10" s="49" t="str">
        <x:v>https://agevent.krei.re.kr/main</x:v>
      </x:c>
      <x:c r="J10" s="49" t="str">
        <x:v>본 인덱스에는 가격 시계열 미연결</x:v>
      </x:c>
    </x:row>
    <x:row r="11" ht="24" hidden="0" customHeight="1">
      <x:c r="A11" s="67" t="n">
        <x:v>46037</x:v>
      </x:c>
      <x:c r="B11" s="49" t="str">
        <x:v>제품근거</x:v>
      </x:c>
      <x:c r="C11" s="49" t="str">
        <x:v>젖소 열스트레스 RP-GABA 연구</x:v>
      </x:c>
      <x:c r="D11" s="49" t="str">
        <x:v>18두·56일; 산유량 차이는 유의하지 않았고(p=0.083), 유지방·유당은 유의</x:v>
      </x:c>
      <x:c r="E11" s="49" t="str">
        <x:v>중간</x:v>
      </x:c>
      <x:c r="F11" s="49" t="str">
        <x:v>유망/제한</x:v>
      </x:c>
      <x:c r="G11" s="67" t="n">
        <x:v>46402</x:v>
      </x:c>
      <x:c r="H11" s="49" t="str">
        <x:v>자사 제형·용량으로 해당 제품의 PoV 설계</x:v>
      </x:c>
      <x:c r="I11" s="49" t="str">
        <x:v>https://www.mdpi.com/2076-2615/16/2/262</x:v>
      </x:c>
      <x:c r="J11" s="49" t="str">
        <x:v>반추위 보호 제형 연구이므로 일반 GABA와 동일시 금지</x:v>
      </x:c>
    </x:row>
    <x:row r="12" ht="24" hidden="0" customHeight="1">
      <x:c r="A12" s="67" t="n">
        <x:v>45699</x:v>
      </x:c>
      <x:c r="B12" s="49" t="str">
        <x:v>제품근거</x:v>
      </x:c>
      <x:c r="C12" s="49" t="str">
        <x:v>넙치 염분스트레스 GABA 연구</x:v>
      </x:c>
      <x:c r="D12" s="49" t="str">
        <x:v>8주 시험에서 성장·삼투조절 개선이 유의하지 않음</x:v>
      </x:c>
      <x:c r="E12" s="49" t="str">
        <x:v>중간</x:v>
      </x:c>
      <x:c r="F12" s="49" t="str">
        <x:v>혼합</x:v>
      </x:c>
      <x:c r="G12" s="67" t="n">
        <x:v>46429</x:v>
      </x:c>
      <x:c r="H12" s="49" t="str">
        <x:v>효과가 없는 축종·상황도 근거 맵에 유지</x:v>
      </x:c>
      <x:c r="I12" s="49" t="str">
        <x:v>https://www.e-kfas.org/Upload/files/kfas/4.%2058%281%29%2033-45.pdf</x:v>
      </x:c>
      <x:c r="J12" s="49" t="str">
        <x:v>부정·중립 결과를 제외하지 않음</x:v>
      </x:c>
    </x:row>
    <x:row r="13" ht="24" hidden="0" customHeight="1">
      <x:c r="A13" s="68" t="n">
        <x:v>45291</x:v>
      </x:c>
      <x:c r="B13" s="41" t="str">
        <x:v>제품근거</x:v>
      </x:c>
      <x:c r="C13" s="41" t="str">
        <x:v>비육 한우 GABA 연구</x:v>
      </x:c>
      <x:c r="D13" s="41" t="str">
        <x:v>21두; 초기 일당증체량은 증가했으나 도체지표는 통계적 유의성 없음</x:v>
      </x:c>
      <x:c r="E13" s="41" t="str">
        <x:v>중간</x:v>
      </x:c>
      <x:c r="F13" s="41" t="str">
        <x:v>유망/제한</x:v>
      </x:c>
      <x:c r="G13" s="68" t="n">
        <x:v>46387</x:v>
      </x:c>
      <x:c r="H13" s="41" t="str">
        <x:v>활성 GABA 함량·급여량을 원본 75g/t 가정과 대조</x:v>
      </x:c>
      <x:c r="I13" s="41" t="str">
        <x:v>https://www.kci.go.kr/kciportal/landing/article.kci?arti_id=ART003036784</x:v>
      </x:c>
      <x:c r="J13" s="41" t="str">
        <x:v>소표본·제품 제형 차이 주의</x:v>
      </x:c>
    </x:row>
  </x:sheetData>
  <x:mergeCells>
    <x:mergeCell ref="A1:J1"/>
    <x:mergeCell ref="A2:J2"/>
  </x:mergeCells>
  <x:dataValidations count="2">
    <x:dataValidation type="list" sqref="E4:E13">
      <x:formula1>"높음,중간,낮음"</x:formula1>
    </x:dataValidation>
    <x:dataValidation type="list" sqref="F4:F13">
      <x:formula1>"상시,기회,주의,모니터링,유망/제한,혼합,검증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b2986973044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14" hidden="0" customWidth="1"/>
    <x:col min="4" max="4" width="34" hidden="0" customWidth="1"/>
    <x:col min="5" max="5" width="18" hidden="0" customWidth="1"/>
    <x:col min="6" max="6" width="42" hidden="0" customWidth="1"/>
  </x:cols>
  <x:sheetData>
    <x:row r="1" ht="24" hidden="0" customHeight="1">
      <x:c r="A1" s="3" t="str">
        <x:v>03 · UNIT ECONOMICS</x:v>
      </x:c>
      <x:c r="B1" s="3" t="str">
        <x:v>03 · UNIT ECONOMICS</x:v>
      </x:c>
      <x:c r="C1" s="3" t="str">
        <x:v>03 · UNIT ECONOMICS</x:v>
      </x:c>
      <x:c r="D1" s="3" t="str">
        <x:v>03 · UNIT ECONOMICS</x:v>
      </x:c>
      <x:c r="E1" s="3" t="str">
        <x:v>03 · UNIT ECONOMICS</x:v>
      </x:c>
      <x:c r="F1" s="3" t="str">
        <x:v>03 · UNIT ECONOMICS</x:v>
      </x:c>
    </x:row>
    <x:row r="2" ht="15" hidden="0" customHeight="1">
      <x:c r="A2" s="6" t="str">
        <x:v>주황색=입력 가정 · 파란색/초록색=계산값 · 고객/투자자 공유 전 근거문서 연결</x:v>
      </x:c>
      <x:c r="B2" s="6" t="str">
        <x:v>주황색=입력 가정 · 파란색/초록색=계산값 · 고객/투자자 공유 전 근거문서 연결</x:v>
      </x:c>
      <x:c r="C2" s="6" t="str">
        <x:v>주황색=입력 가정 · 파란색/초록색=계산값 · 고객/투자자 공유 전 근거문서 연결</x:v>
      </x:c>
      <x:c r="D2" s="6" t="str">
        <x:v>주황색=입력 가정 · 파란색/초록색=계산값 · 고객/투자자 공유 전 근거문서 연결</x:v>
      </x:c>
      <x:c r="E2" s="6" t="str">
        <x:v>주황색=입력 가정 · 파란색/초록색=계산값 · 고객/투자자 공유 전 근거문서 연결</x:v>
      </x:c>
      <x:c r="F2" s="6" t="str">
        <x:v>주황색=입력 가정 · 파란색/초록색=계산값 · 고객/투자자 공유 전 근거문서 연결</x:v>
      </x:c>
    </x:row>
    <x:row r="3" ht="15" hidden="0" customHeight="1">
      <x:c r="A3" s="31" t="str">
        <x:v>항목</x:v>
      </x:c>
      <x:c r="B3" s="32" t="str">
        <x:v>값</x:v>
      </x:c>
      <x:c r="C3" s="32" t="str">
        <x:v>단위</x:v>
      </x:c>
      <x:c r="D3" s="32" t="str">
        <x:v>산식/정의</x:v>
      </x:c>
      <x:c r="E3" s="32" t="str">
        <x:v>증빙 상태</x:v>
      </x:c>
      <x:c r="F3" s="33" t="str">
        <x:v>출처/메모</x:v>
      </x:c>
    </x:row>
    <x:row r="4" ht="15" hidden="0" customHeight="1">
      <x:c r="A4" s="40" t="str">
        <x:v>가바크루드 20% 기준품 판매가</x:v>
      </x:c>
      <x:c r="B4" s="85" t="n">
        <x:v>18000</x:v>
      </x:c>
      <x:c r="C4" s="40" t="str">
        <x:v>원/kg</x:v>
      </x:c>
      <x:c r="D4" s="40" t="str">
        <x:v>입력</x:v>
      </x:c>
      <x:c r="E4" s="40" t="str">
        <x:v>검증 필요</x:v>
      </x:c>
      <x:c r="F4" s="40" t="str">
        <x:v>원본 slide 12~13</x:v>
      </x:c>
    </x:row>
    <x:row r="5" ht="15" hidden="0" customHeight="1">
      <x:c r="A5" s="49" t="str">
        <x:v>가바크루드 20% 기준품 잠정원가</x:v>
      </x:c>
      <x:c r="B5" s="86" t="n">
        <x:v>9240</x:v>
      </x:c>
      <x:c r="C5" s="49" t="str">
        <x:v>원/kg</x:v>
      </x:c>
      <x:c r="D5" s="49" t="str">
        <x:v>입력</x:v>
      </x:c>
      <x:c r="E5" s="49" t="str">
        <x:v>근거 단절</x:v>
      </x:c>
      <x:c r="F5" s="49" t="str">
        <x:v>배양액 400만원 외 건조·부형제·검사비 연결 필요</x:v>
      </x:c>
    </x:row>
    <x:row r="6" ht="15" hidden="0" customHeight="1">
      <x:c r="A6" s="49" t="str">
        <x:v>가바크루드 단위공헌</x:v>
      </x:c>
      <x:c r="B6" s="88" t="n">
        <x:f>B4-B5</x:f>
        <x:v>8760</x:v>
      </x:c>
      <x:c r="C6" s="49" t="str">
        <x:v>원/kg</x:v>
      </x:c>
      <x:c r="D6" s="49" t="str">
        <x:v>판매가-잠정원가</x:v>
      </x:c>
      <x:c r="E6" s="49" t="str">
        <x:v>계산</x:v>
      </x:c>
      <x:c r="F6" s="49" t="str"/>
    </x:row>
    <x:row r="7" ht="15" hidden="0" customHeight="1">
      <x:c r="A7" s="49" t="str">
        <x:v>가바크루드 공헌율</x:v>
      </x:c>
      <x:c r="B7" s="89" t="n">
        <x:f>B6/B4</x:f>
        <x:v>0.4866666666666667</x:v>
      </x:c>
      <x:c r="C7" s="49" t="str">
        <x:v>%</x:v>
      </x:c>
      <x:c r="D7" s="49" t="str">
        <x:v>단위공헌/판매가</x:v>
      </x:c>
      <x:c r="E7" s="49" t="str">
        <x:v>계산</x:v>
      </x:c>
      <x:c r="F7" s="49" t="str"/>
    </x:row>
    <x:row r="8" ht="15" hidden="0" customHeight="1">
      <x:c r="A8" s="49" t="str"/>
      <x:c r="B8" s="81"/>
      <x:c r="C8" s="49" t="str"/>
      <x:c r="D8" s="49" t="str"/>
      <x:c r="E8" s="49" t="str"/>
      <x:c r="F8" s="49" t="str"/>
    </x:row>
    <x:row r="9" ht="15" hidden="0" customHeight="1">
      <x:c r="A9" s="49" t="str">
        <x:v>가바케어믹스 프로그램 가격</x:v>
      </x:c>
      <x:c r="B9" s="86" t="n">
        <x:v>6000</x:v>
      </x:c>
      <x:c r="C9" s="49" t="str">
        <x:v>원/사료t</x:v>
      </x:c>
      <x:c r="D9" s="49" t="str">
        <x:v>입력</x:v>
      </x:c>
      <x:c r="E9" s="49" t="str">
        <x:v>검증 필요</x:v>
      </x:c>
      <x:c r="F9" s="49" t="str">
        <x:v>원본 slide 12,15</x:v>
      </x:c>
    </x:row>
    <x:row r="10" ht="15" hidden="0" customHeight="1">
      <x:c r="A10" s="49" t="str">
        <x:v>가바케어믹스 투입량</x:v>
      </x:c>
      <x:c r="B10" s="87" t="n">
        <x:v>0.075</x:v>
      </x:c>
      <x:c r="C10" s="49" t="str">
        <x:v>kg/사료t</x:v>
      </x:c>
      <x:c r="D10" s="49" t="str">
        <x:v>입력</x:v>
      </x:c>
      <x:c r="E10" s="49" t="str">
        <x:v>유효용량 미검증</x:v>
      </x:c>
      <x:c r="F10" s="49" t="str">
        <x:v>75g/사료t</x:v>
      </x:c>
    </x:row>
    <x:row r="11" ht="15" hidden="0" customHeight="1">
      <x:c r="A11" s="49" t="str">
        <x:v>가바케어믹스 제품원가</x:v>
      </x:c>
      <x:c r="B11" s="86" t="n">
        <x:v>4681.8</x:v>
      </x:c>
      <x:c r="C11" s="49" t="str">
        <x:v>원/kg</x:v>
      </x:c>
      <x:c r="D11" s="49" t="str">
        <x:v>입력</x:v>
      </x:c>
      <x:c r="E11" s="49" t="str">
        <x:v>근거 단절</x:v>
      </x:c>
      <x:c r="F11" s="49" t="str">
        <x:v>원본 slide 14</x:v>
      </x:c>
    </x:row>
    <x:row r="12" ht="15" hidden="0" customHeight="1">
      <x:c r="A12" s="49" t="str">
        <x:v>제품비</x:v>
      </x:c>
      <x:c r="B12" s="88" t="n">
        <x:f>B10*B11</x:f>
        <x:v>351.135</x:v>
      </x:c>
      <x:c r="C12" s="49" t="str">
        <x:v>원/사료t</x:v>
      </x:c>
      <x:c r="D12" s="49" t="str">
        <x:v>투입량×제품원가</x:v>
      </x:c>
      <x:c r="E12" s="49" t="str">
        <x:v>계산</x:v>
      </x:c>
      <x:c r="F12" s="49" t="str"/>
    </x:row>
    <x:row r="13" ht="15" hidden="0" customHeight="1">
      <x:c r="A13" s="49" t="str">
        <x:v>직접비</x:v>
      </x:c>
      <x:c r="B13" s="86" t="n">
        <x:v>1500</x:v>
      </x:c>
      <x:c r="C13" s="49" t="str">
        <x:v>원/사료t</x:v>
      </x:c>
      <x:c r="D13" s="49" t="str">
        <x:v>입력</x:v>
      </x:c>
      <x:c r="E13" s="49" t="str">
        <x:v>검증 필요</x:v>
      </x:c>
      <x:c r="F13" s="49" t="str">
        <x:v>현장·채널비</x:v>
      </x:c>
    </x:row>
    <x:row r="14" ht="15" hidden="0" customHeight="1">
      <x:c r="A14" s="49" t="str">
        <x:v>가바케어믹스 단위공헌</x:v>
      </x:c>
      <x:c r="B14" s="88" t="n">
        <x:f>B9-B12-B13</x:f>
        <x:v>4148.865</x:v>
      </x:c>
      <x:c r="C14" s="49" t="str">
        <x:v>원/사료t</x:v>
      </x:c>
      <x:c r="D14" s="49" t="str">
        <x:v>가격-제품비-직접비</x:v>
      </x:c>
      <x:c r="E14" s="49" t="str">
        <x:v>계산</x:v>
      </x:c>
      <x:c r="F14" s="49" t="str"/>
    </x:row>
    <x:row r="15" ht="15" hidden="0" customHeight="1">
      <x:c r="A15" s="49" t="str">
        <x:v>가바케어믹스 공헌율</x:v>
      </x:c>
      <x:c r="B15" s="89" t="n">
        <x:f>B14/B9</x:f>
        <x:v>0.6914775</x:v>
      </x:c>
      <x:c r="C15" s="49" t="str">
        <x:v>%</x:v>
      </x:c>
      <x:c r="D15" s="49" t="str">
        <x:v>단위공헌/가격</x:v>
      </x:c>
      <x:c r="E15" s="49" t="str">
        <x:v>계산</x:v>
      </x:c>
      <x:c r="F15" s="49" t="str"/>
    </x:row>
    <x:row r="16" ht="15" hidden="0" customHeight="1">
      <x:c r="A16" s="49" t="str"/>
      <x:c r="B16" s="81"/>
      <x:c r="C16" s="49" t="str"/>
      <x:c r="D16" s="49" t="str"/>
      <x:c r="E16" s="49" t="str"/>
      <x:c r="F16" s="49" t="str"/>
    </x:row>
    <x:row r="17" ht="15" hidden="0" customHeight="1">
      <x:c r="A17" s="49" t="str">
        <x:v>T1 검증예산</x:v>
      </x:c>
      <x:c r="B17" s="86" t="n">
        <x:v>45600000</x:v>
      </x:c>
      <x:c r="C17" s="49" t="str">
        <x:v>원</x:v>
      </x:c>
      <x:c r="D17" s="49" t="str">
        <x:v>입력</x:v>
      </x:c>
      <x:c r="E17" s="49" t="str">
        <x:v>검증 필요</x:v>
      </x:c>
      <x:c r="F17" s="49" t="str">
        <x:v>원본 slide 17</x:v>
      </x:c>
    </x:row>
    <x:row r="18" ht="15" hidden="0" customHeight="1">
      <x:c r="A18" s="49" t="str">
        <x:v>T1 손익분기 물량</x:v>
      </x:c>
      <x:c r="B18" s="88" t="n">
        <x:f>B17/B14</x:f>
        <x:v>10990.957767967866</x:v>
      </x:c>
      <x:c r="C18" s="49" t="str">
        <x:v>사료t</x:v>
      </x:c>
      <x:c r="D18" s="49" t="str">
        <x:v>검증예산/가바케어믹스 단위공헌</x:v>
      </x:c>
      <x:c r="E18" s="49" t="str">
        <x:v>계산</x:v>
      </x:c>
      <x:c r="F18" s="49" t="str"/>
    </x:row>
    <x:row r="19" ht="15" hidden="0" customHeight="1">
      <x:c r="A19" s="49" t="str"/>
      <x:c r="B19" s="81"/>
      <x:c r="C19" s="49" t="str"/>
      <x:c r="D19" s="49" t="str"/>
      <x:c r="E19" s="49" t="str"/>
      <x:c r="F19" s="49" t="str"/>
    </x:row>
    <x:row r="20" ht="15" hidden="0" customHeight="1">
      <x:c r="A20" s="49" t="str">
        <x:v>반복주문 가바크루드 물량</x:v>
      </x:c>
      <x:c r="B20" s="86" t="n">
        <x:v>20000</x:v>
      </x:c>
      <x:c r="C20" s="49" t="str">
        <x:v>kg</x:v>
      </x:c>
      <x:c r="D20" s="49" t="str">
        <x:v>입력</x:v>
      </x:c>
      <x:c r="E20" s="49" t="str">
        <x:v>시나리오</x:v>
      </x:c>
      <x:c r="F20" s="49" t="str">
        <x:v>원본 slide 16</x:v>
      </x:c>
    </x:row>
    <x:row r="21" ht="15" hidden="0" customHeight="1">
      <x:c r="A21" s="49" t="str">
        <x:v>반복주문 가바케어믹스 물량</x:v>
      </x:c>
      <x:c r="B21" s="86" t="n">
        <x:v>50000</x:v>
      </x:c>
      <x:c r="C21" s="49" t="str">
        <x:v>사료t</x:v>
      </x:c>
      <x:c r="D21" s="49" t="str">
        <x:v>입력</x:v>
      </x:c>
      <x:c r="E21" s="49" t="str">
        <x:v>시나리오</x:v>
      </x:c>
      <x:c r="F21" s="49" t="str">
        <x:v>원본 slide 16</x:v>
      </x:c>
    </x:row>
    <x:row r="22" ht="15" hidden="0" customHeight="1">
      <x:c r="A22" s="49" t="str">
        <x:v>반복주문 총매출</x:v>
      </x:c>
      <x:c r="B22" s="88" t="n">
        <x:f>B20*B4+B21*B9</x:f>
        <x:v>660000000</x:v>
      </x:c>
      <x:c r="C22" s="49" t="str">
        <x:v>원</x:v>
      </x:c>
      <x:c r="D22" s="49" t="str">
        <x:v>가바크루드매출+가바케어믹스매출</x:v>
      </x:c>
      <x:c r="E22" s="49" t="str">
        <x:v>계산</x:v>
      </x:c>
      <x:c r="F22" s="49" t="str"/>
    </x:row>
    <x:row r="23" ht="15" hidden="0" customHeight="1">
      <x:c r="A23" s="49" t="str">
        <x:v>반복주문 총공헌</x:v>
      </x:c>
      <x:c r="B23" s="88" t="n">
        <x:f>B20*B6+B21*B14</x:f>
        <x:v>382643250</x:v>
      </x:c>
      <x:c r="C23" s="49" t="str">
        <x:v>원</x:v>
      </x:c>
      <x:c r="D23" s="49" t="str">
        <x:v>가바크루드공헌+가바케어믹스공헌</x:v>
      </x:c>
      <x:c r="E23" s="49" t="str">
        <x:v>계산</x:v>
      </x:c>
      <x:c r="F23" s="49" t="str"/>
    </x:row>
    <x:row r="24" ht="15" hidden="0" customHeight="1">
      <x:c r="A24" s="49" t="str"/>
      <x:c r="B24" s="81"/>
      <x:c r="C24" s="49" t="str"/>
      <x:c r="D24" s="49" t="str"/>
      <x:c r="E24" s="49" t="str"/>
      <x:c r="F24" s="49" t="str"/>
    </x:row>
    <x:row r="25" ht="15" hidden="0" customHeight="1">
      <x:c r="A25" s="49" t="str">
        <x:v>첫 사이클 활성 GABA 사용</x:v>
      </x:c>
      <x:c r="B25" s="86" t="n">
        <x:v>4.19</x:v>
      </x:c>
      <x:c r="C25" s="49" t="str">
        <x:v>t</x:v>
      </x:c>
      <x:c r="D25" s="49" t="str">
        <x:v>입력</x:v>
      </x:c>
      <x:c r="E25" s="49" t="str">
        <x:v>정의 확인</x:v>
      </x:c>
      <x:c r="F25" s="49" t="str">
        <x:v>원본 slide 18</x:v>
      </x:c>
    </x:row>
    <x:row r="26" ht="15" hidden="0" customHeight="1">
      <x:c r="A26" s="49" t="str">
        <x:v>브리지 활성 GABA 능력</x:v>
      </x:c>
      <x:c r="B26" s="86" t="n">
        <x:v>11.94</x:v>
      </x:c>
      <x:c r="C26" s="49" t="str">
        <x:v>t</x:v>
      </x:c>
      <x:c r="D26" s="49" t="str">
        <x:v>입력</x:v>
      </x:c>
      <x:c r="E26" s="49" t="str">
        <x:v>정의 확인</x:v>
      </x:c>
      <x:c r="F26" s="49" t="str">
        <x:v>원본 slide 18</x:v>
      </x:c>
    </x:row>
    <x:row r="27" ht="15" hidden="0" customHeight="1">
      <x:c r="A27" s="49" t="str">
        <x:v>브리지 용량 사용률</x:v>
      </x:c>
      <x:c r="B27" s="89" t="n">
        <x:f>B25/B26</x:f>
        <x:v>0.35092127303182585</x:v>
      </x:c>
      <x:c r="C27" s="49" t="str">
        <x:v>%</x:v>
      </x:c>
      <x:c r="D27" s="49" t="str">
        <x:v>사용/능력</x:v>
      </x:c>
      <x:c r="E27" s="49" t="str">
        <x:v>계산</x:v>
      </x:c>
      <x:c r="F27" s="49" t="str"/>
    </x:row>
    <x:row r="28" ht="15" hidden="0" customHeight="1">
      <x:c r="A28" s="49" t="str"/>
      <x:c r="B28" s="81"/>
      <x:c r="C28" s="49" t="str"/>
      <x:c r="D28" s="49" t="str"/>
      <x:c r="E28" s="49" t="str"/>
      <x:c r="F28" s="49" t="str"/>
    </x:row>
    <x:row r="29" ht="15" hidden="0" customHeight="1">
      <x:c r="A29" s="49" t="str">
        <x:v>QA-가바크루드 산식 차이</x:v>
      </x:c>
      <x:c r="B29" s="88" t="n">
        <x:f>B4-B5-B6</x:f>
        <x:v>0</x:v>
      </x:c>
      <x:c r="C29" s="49" t="str">
        <x:v>원/kg</x:v>
      </x:c>
      <x:c r="D29" s="49" t="str">
        <x:v>판매가-원가-공헌; 0이어야 함</x:v>
      </x:c>
      <x:c r="E29" s="49" t="str">
        <x:v>자동점검</x:v>
      </x:c>
      <x:c r="F29" s="49" t="str"/>
    </x:row>
    <x:row r="30" ht="15" hidden="0" customHeight="1">
      <x:c r="A30" s="49" t="str">
        <x:v>QA-가바케어믹스 산식 차이</x:v>
      </x:c>
      <x:c r="B30" s="88" t="n">
        <x:f>B9-B12-B13-B14</x:f>
        <x:v>0</x:v>
      </x:c>
      <x:c r="C30" s="49" t="str">
        <x:v>원/사료t</x:v>
      </x:c>
      <x:c r="D30" s="49" t="str">
        <x:v>가격-제품비-직접비-공헌; 0이어야 함</x:v>
      </x:c>
      <x:c r="E30" s="49" t="str">
        <x:v>자동점검</x:v>
      </x:c>
      <x:c r="F30" s="49" t="str"/>
    </x:row>
    <x:row r="31" ht="15" hidden="0" customHeight="1">
      <x:c r="A31" s="41" t="str">
        <x:v>QA-가정 경고</x:v>
      </x:c>
      <x:c r="B31" s="82" t="n">
        <x:v>4</x:v>
      </x:c>
      <x:c r="C31" s="41" t="str"/>
      <x:c r="D31" s="41" t="str">
        <x:v>핵심 미검증 입력 수</x:v>
      </x:c>
      <x:c r="E31" s="41" t="str">
        <x:v>자동점검</x:v>
      </x:c>
      <x:c r="F31" s="41" t="str">
        <x:v>4개 핵심 입력을 검증해야 함</x:v>
      </x:c>
    </x:row>
  </x:sheetData>
  <x:mergeCells>
    <x:mergeCell ref="A1:F1"/>
    <x:mergeCell ref="A2:F2"/>
  </x:mergeCells>
  <x:dataValidations count="1">
    <x:dataValidation type="list" sqref="E4:E31">
      <x:formula1>"검증 필요,근거 단절,유효용량 미검증,계산,시나리오,정의 확인,자동점검,검증 완료"</x:formula1>
    </x:dataValidation>
  </x:dataValidations>
  <x:pageMargins left="0.7" right="0.7" top="0.75" bottom="0.75" header="0.3" footer="0.3"/>
  <x:legacyDrawing xmlns:r="http://schemas.openxmlformats.org/officeDocument/2006/relationships" r:id="Rcfa71d005595426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70" hidden="0" customWidth="1"/>
  </x:cols>
  <x:sheetData>
    <x:row r="1" ht="24" hidden="0" customHeight="1">
      <x:c r="A1" s="3" t="str">
        <x:v>04 · GLOSSARY</x:v>
      </x:c>
      <x:c r="B1" s="3" t="str">
        <x:v>04 · GLOSSARY</x:v>
      </x:c>
      <x:c r="C1" s="3" t="str">
        <x:v>04 · GLOSSARY</x:v>
      </x:c>
    </x:row>
    <x:row r="2" ht="15" hidden="0" customHeight="1">
      <x:c r="A2" s="6" t="str">
        <x:v>사료업계 경험이 없어도 회의와 계약 문서를 읽을 수 있도록 핵심 용어를 평이하게 정리</x:v>
      </x:c>
      <x:c r="B2" s="6" t="str">
        <x:v>사료업계 경험이 없어도 회의와 계약 문서를 읽을 수 있도록 핵심 용어를 평이하게 정리</x:v>
      </x:c>
      <x:c r="C2" s="6" t="str">
        <x:v>사료업계 경험이 없어도 회의와 계약 문서를 읽을 수 있도록 핵심 용어를 평이하게 정리</x:v>
      </x:c>
    </x:row>
    <x:row r="3" ht="15" hidden="0" customHeight="1">
      <x:c r="A3" s="31" t="str">
        <x:v>약어/용어</x:v>
      </x:c>
      <x:c r="B3" s="32" t="str">
        <x:v>쉬운 뜻</x:v>
      </x:c>
      <x:c r="C3" s="33" t="str">
        <x:v>업무에서 이렇게 이해</x:v>
      </x:c>
    </x:row>
    <x:row r="4" ht="24" hidden="0" customHeight="1">
      <x:c r="A4" s="40" t="str">
        <x:v>GABA</x:v>
      </x:c>
      <x:c r="B4" s="40" t="str">
        <x:v>감마아미노부티르산</x:v>
      </x:c>
      <x:c r="C4" s="40" t="str">
        <x:v>동물의 신경계와 스트레스 반응에 관여하는 비단백질성 아미노산. 축종·용량·제형에 따라 효과가 달라질 수 있음.</x:v>
      </x:c>
    </x:row>
    <x:row r="5" ht="15" hidden="0" customHeight="1">
      <x:c r="A5" s="49" t="str">
        <x:v>마스터배치</x:v>
      </x:c>
      <x:c r="B5" s="49" t="str">
        <x:v>고농축 중간재</x:v>
      </x:c>
      <x:c r="C5" s="49" t="str">
        <x:v>최종 제품을 만들기 전에 핵심 성분을 일정 농도로 농축한 재고 단위.</x:v>
      </x:c>
    </x:row>
    <x:row r="6" ht="15" hidden="0" customHeight="1">
      <x:c r="A6" s="49" t="str">
        <x:v>OEM</x:v>
      </x:c>
      <x:c r="B6" s="49" t="str">
        <x:v>주문자상표 부착생산</x:v>
      </x:c>
      <x:c r="C6" s="49" t="str">
        <x:v>제품 설계·판매 주체가 외부 공장에 생산을 맡기는 방식.</x:v>
      </x:c>
    </x:row>
    <x:row r="7" ht="15" hidden="0" customHeight="1">
      <x:c r="A7" s="49" t="str">
        <x:v>SKU</x:v>
      </x:c>
      <x:c r="B7" s="49" t="str">
        <x:v>재고관리 단위</x:v>
      </x:c>
      <x:c r="C7" s="49" t="str">
        <x:v>서로 다른 규격·포장·배합을 구분하는 최소 품목 단위.</x:v>
      </x:c>
    </x:row>
    <x:row r="8" ht="15" hidden="0" customHeight="1">
      <x:c r="A8" s="49" t="str">
        <x:v>MOQ</x:v>
      </x:c>
      <x:c r="B8" s="49" t="str">
        <x:v>최소주문수량</x:v>
      </x:c>
      <x:c r="C8" s="49" t="str">
        <x:v>공장이 한 번에 생산해 주는 최소 물량.</x:v>
      </x:c>
    </x:row>
    <x:row r="9" ht="15" hidden="0" customHeight="1">
      <x:c r="A9" s="49" t="str">
        <x:v>리드타임</x:v>
      </x:c>
      <x:c r="B9" s="49" t="str">
        <x:v>주문~납품 시간</x:v>
      </x:c>
      <x:c r="C9" s="49" t="str">
        <x:v>발주 이후 생산·검사·출하까지 걸리는 기간.</x:v>
      </x:c>
    </x:row>
    <x:row r="10" ht="15" hidden="0" customHeight="1">
      <x:c r="A10" s="49" t="str">
        <x:v>CoA</x:v>
      </x:c>
      <x:c r="B10" s="49" t="str">
        <x:v>성적서</x:v>
      </x:c>
      <x:c r="C10" s="49" t="str">
        <x:v>로트별 성분·미생물·중금속 등의 시험 결과를 적은 문서.</x:v>
      </x:c>
    </x:row>
    <x:row r="11" ht="15" hidden="0" customHeight="1">
      <x:c r="A11" s="49" t="str">
        <x:v>FIFO</x:v>
      </x:c>
      <x:c r="B11" s="49" t="str">
        <x:v>선입선출</x:v>
      </x:c>
      <x:c r="C11" s="49" t="str">
        <x:v>먼저 입고한 재고를 먼저 출고하는 관리 원칙.</x:v>
      </x:c>
    </x:row>
    <x:row r="12" ht="15" hidden="0" customHeight="1">
      <x:c r="A12" s="49" t="str">
        <x:v>PO</x:v>
      </x:c>
      <x:c r="B12" s="49" t="str">
        <x:v>구매주문서</x:v>
      </x:c>
      <x:c r="C12" s="49" t="str">
        <x:v>구매자가 규격·수량·가격·납기를 확정해 발행하는 주문 문서.</x:v>
      </x:c>
    </x:row>
    <x:row r="13" ht="15" hidden="0" customHeight="1">
      <x:c r="A13" s="49" t="str">
        <x:v>QA Agreement</x:v>
      </x:c>
      <x:c r="B13" s="49" t="str">
        <x:v>품질합의서</x:v>
      </x:c>
      <x:c r="C13" s="49" t="str">
        <x:v>발주사와 제조사가 시험항목, 합격기준, 변경·일탈·회수 절차를 합의한 문서.</x:v>
      </x:c>
    </x:row>
    <x:row r="14" ht="15" hidden="0" customHeight="1">
      <x:c r="A14" s="49" t="str">
        <x:v>PoV</x:v>
      </x:c>
      <x:c r="B14" s="49" t="str">
        <x:v>가치검증</x:v>
      </x:c>
      <x:c r="C14" s="49" t="str">
        <x:v>실제 고객 환경에서 제품의 경제적·운영적 가치를 확인하는 유료 시험.</x:v>
      </x:c>
    </x:row>
    <x:row r="15" ht="15" hidden="0" customHeight="1">
      <x:c r="A15" s="49" t="str">
        <x:v>OEE</x:v>
      </x:c>
      <x:c r="B15" s="49" t="str">
        <x:v>설비종합효율</x:v>
      </x:c>
      <x:c r="C15" s="49" t="str">
        <x:v>가동률·성능·품질을 함께 본 공장 운영 효율 지표.</x:v>
      </x:c>
    </x:row>
    <x:row r="16" ht="15" hidden="0" customHeight="1">
      <x:c r="A16" s="49" t="str">
        <x:v>TMR</x:v>
      </x:c>
      <x:c r="B16" s="49" t="str">
        <x:v>완전혼합사료</x:v>
      </x:c>
      <x:c r="C16" s="49" t="str">
        <x:v>조사료와 농후사료를 한 번에 균일하게 섞은 사료.</x:v>
      </x:c>
    </x:row>
    <x:row r="17" ht="15" hidden="0" customHeight="1">
      <x:c r="A17" s="49" t="str">
        <x:v>THI</x:v>
      </x:c>
      <x:c r="B17" s="49" t="str">
        <x:v>온습도지수</x:v>
      </x:c>
      <x:c r="C17" s="49" t="str">
        <x:v>온도와 습도를 합쳐 가축의 열스트레스 정도를 보는 지표.</x:v>
      </x:c>
    </x:row>
    <x:row r="18" ht="15" hidden="0" customHeight="1">
      <x:c r="A18" s="49" t="str">
        <x:v>ADG</x:v>
      </x:c>
      <x:c r="B18" s="49" t="str">
        <x:v>일당증체량</x:v>
      </x:c>
      <x:c r="C18" s="49" t="str">
        <x:v>하루 평균 체중이 얼마나 늘었는지 보는 생산성 지표.</x:v>
      </x:c>
    </x:row>
    <x:row r="19" ht="15" hidden="0" customHeight="1">
      <x:c r="A19" s="49" t="str">
        <x:v>FCR</x:v>
      </x:c>
      <x:c r="B19" s="49" t="str">
        <x:v>사료요구율</x:v>
      </x:c>
      <x:c r="C19" s="49" t="str">
        <x:v>체중 1kg 증가에 필요한 사료량. 낮을수록 효율적.</x:v>
      </x:c>
    </x:row>
    <x:row r="20" ht="15" hidden="0" customHeight="1">
      <x:c r="A20" s="49" t="str">
        <x:v>근내지방도</x:v>
      </x:c>
      <x:c r="B20" s="49" t="str">
        <x:v>고기 속 지방의 분포 정도</x:v>
      </x:c>
      <x:c r="C20" s="49" t="str">
        <x:v>한우 육질등급 판정에 쓰이는 주요 항목 중 하나.</x:v>
      </x:c>
    </x:row>
    <x:row r="21" ht="15" hidden="0" customHeight="1">
      <x:c r="A21" s="49" t="str">
        <x:v>대조군</x:v>
      </x:c>
      <x:c r="B21" s="49" t="str">
        <x:v>비교 기준 집단</x:v>
      </x:c>
      <x:c r="C21" s="49" t="str">
        <x:v>가바케어믹스를 급여하지 않은 같은 조건의 소와 결과를 비교하는 집단.</x:v>
      </x:c>
    </x:row>
    <x:row r="22" ht="24" hidden="0" customHeight="1">
      <x:c r="A22" s="49" t="str">
        <x:v>사전 최소효과</x:v>
      </x:c>
      <x:c r="B22" s="49" t="str">
        <x:v>시험 전에 정한 의미 있는 변화의 기준</x:v>
      </x:c>
      <x:c r="C22" s="49" t="str">
        <x:v>결과를 본 뒤 기준을 바꾸지 않도록 시험계획서에 미리 기록하는 판정 기준.</x:v>
      </x:c>
    </x:row>
    <x:row r="23" ht="15" hidden="0" customHeight="1">
      <x:c r="A23" s="49" t="str">
        <x:v>RP-GABA</x:v>
      </x:c>
      <x:c r="B23" s="49" t="str">
        <x:v>반추위 보호 GABA</x:v>
      </x:c>
      <x:c r="C23" s="49" t="str">
        <x:v>반추위에서 바로 분해되지 않도록 코팅·보호한 GABA 제형.</x:v>
      </x:c>
    </x:row>
    <x:row r="24" ht="15" hidden="0" customHeight="1">
      <x:c r="A24" s="49" t="str">
        <x:v>단위공헌</x:v>
      </x:c>
      <x:c r="B24" s="49" t="str">
        <x:v>한 단위가 남기는 금액</x:v>
      </x:c>
      <x:c r="C24" s="49" t="str">
        <x:v>판매가격에서 제품 원가와 직접 변동비를 뺀 값.</x:v>
      </x:c>
    </x:row>
    <x:row r="25" ht="15" hidden="0" customHeight="1">
      <x:c r="A25" s="49" t="str">
        <x:v>손익분기</x:v>
      </x:c>
      <x:c r="B25" s="49" t="str">
        <x:v>고정비 회수 지점</x:v>
      </x:c>
      <x:c r="C25" s="49" t="str">
        <x:v>누적 단위공헌이 초기·고정 비용과 같아지는 판매량.</x:v>
      </x:c>
    </x:row>
    <x:row r="26" ht="15" hidden="0" customHeight="1">
      <x:c r="A26" s="49" t="str">
        <x:v>사료공정</x:v>
      </x:c>
      <x:c r="B26" s="49" t="str">
        <x:v>사료 기준·규격 체계</x:v>
      </x:c>
      <x:c r="C26" s="49" t="str">
        <x:v>제조·사용·보존방법과 성분 규격을 정하는 제도적 기준.</x:v>
      </x:c>
    </x:row>
    <x:row r="27" ht="15" hidden="0" customHeight="1">
      <x:c r="A27" s="49" t="str">
        <x:v>품목분류</x:v>
      </x:c>
      <x:c r="B27" s="49" t="str">
        <x:v>어떤 사료로 볼지 결정</x:v>
      </x:c>
      <x:c r="C27" s="49" t="str">
        <x:v>단미사료·보조사료·배합사료 등 법적 범주와 등록경로를 정하는 과정.</x:v>
      </x:c>
    </x:row>
    <x:row r="28" ht="15" hidden="0" customHeight="1">
      <x:c r="A28" s="49" t="str">
        <x:v>기준품</x:v>
      </x:c>
      <x:c r="B28" s="49" t="str">
        <x:v>품질과 농도의 기준이 되는 제품</x:v>
      </x:c>
      <x:c r="C28" s="49" t="str">
        <x:v>가바크루드 GABA 20% 제품처럼 시험·출하 기준을 대표하는 규격.</x:v>
      </x:c>
    </x:row>
    <x:row r="29" ht="15" hidden="0" customHeight="1">
      <x:c r="A29" s="49" t="str">
        <x:v>미네랄매트릭스</x:v>
      </x:c>
      <x:c r="B29" s="49" t="str">
        <x:v>미네랄 기반 배합체</x:v>
      </x:c>
      <x:c r="C29" s="49" t="str">
        <x:v>가바크루드와 함께 가바케어믹스의 배합 구조와 투입 기준을 구성하는 혼합 기반.</x:v>
      </x:c>
    </x:row>
    <x:row r="30" ht="15" hidden="0" customHeight="1">
      <x:c r="A30" s="41" t="str">
        <x:v>CAPA</x:v>
      </x:c>
      <x:c r="B30" s="41" t="str">
        <x:v>생산가능량</x:v>
      </x:c>
      <x:c r="C30" s="41" t="str">
        <x:v>정해진 기간에 생산할 수 있는 최대 물량. 이 원장에서는 배양액의 월간 생산량.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26c997118e14c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48" hidden="0" customWidth="1"/>
    <x:col min="5" max="5" width="12" hidden="0" customWidth="1"/>
    <x:col min="6" max="6" width="36" hidden="0" customWidth="1"/>
    <x:col min="7" max="7" width="13" hidden="0" customWidth="1"/>
  </x:cols>
  <x:sheetData>
    <x:row r="1" ht="24" hidden="0" customHeight="1">
      <x:c r="A1" s="3" t="str">
        <x:v>05 · UPDATE LOG</x:v>
      </x:c>
      <x:c r="B1" s="3" t="str">
        <x:v>05 · UPDATE LOG</x:v>
      </x:c>
      <x:c r="C1" s="3" t="str">
        <x:v>05 · UPDATE LOG</x:v>
      </x:c>
      <x:c r="D1" s="3" t="str">
        <x:v>05 · UPDATE LOG</x:v>
      </x:c>
      <x:c r="E1" s="3" t="str">
        <x:v>05 · UPDATE LOG</x:v>
      </x:c>
      <x:c r="F1" s="3" t="str">
        <x:v>05 · UPDATE LOG</x:v>
      </x:c>
      <x:c r="G1" s="3" t="str">
        <x:v>05 · UPDATE LOG</x:v>
      </x:c>
    </x:row>
    <x:row r="2" ht="15" hidden="0" customHeight="1">
      <x:c r="A2" s="6" t="str">
        <x:v>변경 자체보다 그 변경이 점수·전략·계약 판단에 어떤 영향을 주었는지 기록</x:v>
      </x:c>
      <x:c r="B2" s="6" t="str">
        <x:v>변경 자체보다 그 변경이 점수·전략·계약 판단에 어떤 영향을 주었는지 기록</x:v>
      </x:c>
      <x:c r="C2" s="6" t="str">
        <x:v>변경 자체보다 그 변경이 점수·전략·계약 판단에 어떤 영향을 주었는지 기록</x:v>
      </x:c>
      <x:c r="D2" s="6" t="str">
        <x:v>변경 자체보다 그 변경이 점수·전략·계약 판단에 어떤 영향을 주었는지 기록</x:v>
      </x:c>
      <x:c r="E2" s="6" t="str">
        <x:v>변경 자체보다 그 변경이 점수·전략·계약 판단에 어떤 영향을 주었는지 기록</x:v>
      </x:c>
      <x:c r="F2" s="6" t="str">
        <x:v>변경 자체보다 그 변경이 점수·전략·계약 판단에 어떤 영향을 주었는지 기록</x:v>
      </x:c>
      <x:c r="G2" s="6" t="str">
        <x:v>변경 자체보다 그 변경이 점수·전략·계약 판단에 어떤 영향을 주었는지 기록</x:v>
      </x:c>
    </x:row>
    <x:row r="3" ht="15" hidden="0" customHeight="1">
      <x:c r="A3" s="31" t="str">
        <x:v>업데이트일</x:v>
      </x:c>
      <x:c r="B3" s="32" t="str">
        <x:v>작성자</x:v>
      </x:c>
      <x:c r="C3" s="32" t="str">
        <x:v>변경영역</x:v>
      </x:c>
      <x:c r="D3" s="32" t="str">
        <x:v>변경 내용</x:v>
      </x:c>
      <x:c r="E3" s="32" t="str">
        <x:v>점수 영향</x:v>
      </x:c>
      <x:c r="F3" s="32" t="str">
        <x:v>결정 영향</x:v>
      </x:c>
      <x:c r="G3" s="33" t="str">
        <x:v>다음 확인일</x:v>
      </x:c>
    </x:row>
    <x:row r="4" ht="15" hidden="0" customHeight="1">
      <x:c r="A4" s="66" t="n">
        <x:v>46237</x:v>
      </x:c>
      <x:c r="B4" s="40" t="str">
        <x:v>Codex</x:v>
      </x:c>
      <x:c r="C4" s="40" t="str">
        <x:v>초기 구축</x:v>
      </x:c>
      <x:c r="D4" s="40" t="str">
        <x:v>원본 22장 검토, 공식·학술 근거 레지스터, 예비 준비도 41점 구성</x:v>
      </x:c>
      <x:c r="E4" s="40" t="n">
        <x:v>0</x:v>
      </x:c>
      <x:c r="F4" s="40" t="str">
        <x:v>VALIDATE 단계로 정의</x:v>
      </x:c>
      <x:c r="G4" s="66" t="n">
        <x:v>46251</x:v>
      </x:c>
    </x:row>
    <x:row r="5" ht="24" hidden="0" customHeight="1">
      <x:c r="A5" s="67" t="n">
        <x:v>46237</x:v>
      </x:c>
      <x:c r="B5" s="49" t="str">
        <x:v>Codex</x:v>
      </x:c>
      <x:c r="C5" s="49" t="str">
        <x:v>원가 QA</x:v>
      </x:c>
      <x:c r="D5" s="49" t="str">
        <x:v>9,240원/kg 및 4,681.8원/kg의 연결 근거가 원본에서 불완전함을 표시</x:v>
      </x:c>
      <x:c r="E5" s="49" t="n">
        <x:v>0</x:v>
      </x:c>
      <x:c r="F5" s="49" t="str">
        <x:v>견적 전 확정 수익성 표현 금지</x:v>
      </x:c>
      <x:c r="G5" s="67" t="n">
        <x:v>46295</x:v>
      </x:c>
    </x:row>
    <x:row r="6" ht="15" hidden="0" customHeight="1">
      <x:c r="A6" s="67" t="n">
        <x:v>46237</x:v>
      </x:c>
      <x:c r="B6" s="49" t="str">
        <x:v>Codex</x:v>
      </x:c>
      <x:c r="C6" s="49" t="str">
        <x:v>제품근거</x:v>
      </x:c>
      <x:c r="D6" s="49" t="str">
        <x:v>2026 젖소, 2025 넙치, 2023 한우 연구의 긍정·중립 결과를 함께 등록</x:v>
      </x:c>
      <x:c r="E6" s="49" t="n">
        <x:v>0</x:v>
      </x:c>
      <x:c r="F6" s="49" t="str">
        <x:v>한 축종·한 제형·한 용량 PoV 우선</x:v>
      </x:c>
      <x:c r="G6" s="67" t="n">
        <x:v>46310</x:v>
      </x:c>
    </x:row>
    <x:row r="7" ht="24" hidden="0" customHeight="1">
      <x:c r="A7" s="67" t="n">
        <x:v>46237</x:v>
      </x:c>
      <x:c r="B7" s="49" t="str">
        <x:v>Codex</x:v>
      </x:c>
      <x:c r="C7" s="49" t="str">
        <x:v>사업모델</x:v>
      </x:c>
      <x:c r="D7" s="49" t="str">
        <x:v>가바크루드 원료 사업과 가바케어믹스 배합사료 사업으로 구분하고 핵심 인력·생산 파트너를 등록</x:v>
      </x:c>
      <x:c r="E7" s="49" t="n">
        <x:v>0</x:v>
      </x:c>
      <x:c r="F7" s="49" t="str">
        <x:v>원료와 배합사료의 고객·품질·매출 책임을 분리</x:v>
      </x:c>
      <x:c r="G7" s="67" t="n">
        <x:v>46251</x:v>
      </x:c>
    </x:row>
    <x:row r="8" ht="24" hidden="0" customHeight="1">
      <x:c r="A8" s="67" t="n">
        <x:v>46237</x:v>
      </x:c>
      <x:c r="B8" s="49" t="str">
        <x:v>Codex</x:v>
      </x:c>
      <x:c r="C8" s="49" t="str">
        <x:v>상업검증</x:v>
      </x:c>
      <x:c r="D8" s="49" t="str">
        <x:v>가바케어믹스를 비육 한우 브랜드 축산용 배합사료로 고도화하고 30일·90일·출하 검증 체계와 KPI를 등록</x:v>
      </x:c>
      <x:c r="E8" s="49" t="n">
        <x:v>0</x:v>
      </x:c>
      <x:c r="F8" s="49" t="str">
        <x:v>30일 유료 실증 착수, 90일 생산성 조기 신호, 출하 육질 최종 판정</x:v>
      </x:c>
      <x:c r="G8" s="67" t="n">
        <x:v>46244</x:v>
      </x:c>
    </x:row>
    <x:row r="9" ht="15" hidden="0" customHeight="1">
      <x:c r="A9" s="67"/>
      <x:c r="B9" s="49"/>
      <x:c r="C9" s="49"/>
      <x:c r="D9" s="49"/>
      <x:c r="E9" s="49"/>
      <x:c r="F9" s="49"/>
      <x:c r="G9" s="67"/>
    </x:row>
    <x:row r="10" ht="15" hidden="0" customHeight="1">
      <x:c r="A10" s="67"/>
      <x:c r="B10" s="49"/>
      <x:c r="C10" s="49"/>
      <x:c r="D10" s="49"/>
      <x:c r="E10" s="49"/>
      <x:c r="F10" s="49"/>
      <x:c r="G10" s="67"/>
    </x:row>
    <x:row r="11" ht="15" hidden="0" customHeight="1">
      <x:c r="A11" s="67"/>
      <x:c r="B11" s="49"/>
      <x:c r="C11" s="49"/>
      <x:c r="D11" s="49"/>
      <x:c r="E11" s="49"/>
      <x:c r="F11" s="49"/>
      <x:c r="G11" s="67"/>
    </x:row>
    <x:row r="12" ht="15" hidden="0" customHeight="1">
      <x:c r="A12" s="67"/>
      <x:c r="B12" s="49"/>
      <x:c r="C12" s="49"/>
      <x:c r="D12" s="49"/>
      <x:c r="E12" s="49"/>
      <x:c r="F12" s="49"/>
      <x:c r="G12" s="67"/>
    </x:row>
    <x:row r="13" ht="15" hidden="0" customHeight="1">
      <x:c r="A13" s="67"/>
      <x:c r="B13" s="49"/>
      <x:c r="C13" s="49"/>
      <x:c r="D13" s="49"/>
      <x:c r="E13" s="49"/>
      <x:c r="F13" s="49"/>
      <x:c r="G13" s="67"/>
    </x:row>
    <x:row r="14" ht="15" hidden="0" customHeight="1">
      <x:c r="A14" s="67"/>
      <x:c r="B14" s="49"/>
      <x:c r="C14" s="49"/>
      <x:c r="D14" s="49"/>
      <x:c r="E14" s="49"/>
      <x:c r="F14" s="49"/>
      <x:c r="G14" s="67"/>
    </x:row>
    <x:row r="15" ht="15" hidden="0" customHeight="1">
      <x:c r="A15" s="67"/>
      <x:c r="B15" s="49"/>
      <x:c r="C15" s="49"/>
      <x:c r="D15" s="49"/>
      <x:c r="E15" s="49"/>
      <x:c r="F15" s="49"/>
      <x:c r="G15" s="67"/>
    </x:row>
    <x:row r="16" ht="15" hidden="0" customHeight="1">
      <x:c r="A16" s="67"/>
      <x:c r="B16" s="49"/>
      <x:c r="C16" s="49"/>
      <x:c r="D16" s="49"/>
      <x:c r="E16" s="49"/>
      <x:c r="F16" s="49"/>
      <x:c r="G16" s="67"/>
    </x:row>
    <x:row r="17" ht="15" hidden="0" customHeight="1">
      <x:c r="A17" s="67"/>
      <x:c r="B17" s="49"/>
      <x:c r="C17" s="49"/>
      <x:c r="D17" s="49"/>
      <x:c r="E17" s="49"/>
      <x:c r="F17" s="49"/>
      <x:c r="G17" s="67"/>
    </x:row>
    <x:row r="18" ht="15" hidden="0" customHeight="1">
      <x:c r="A18" s="67"/>
      <x:c r="B18" s="49"/>
      <x:c r="C18" s="49"/>
      <x:c r="D18" s="49"/>
      <x:c r="E18" s="49"/>
      <x:c r="F18" s="49"/>
      <x:c r="G18" s="67"/>
    </x:row>
    <x:row r="19" ht="15" hidden="0" customHeight="1">
      <x:c r="A19" s="67"/>
      <x:c r="B19" s="49"/>
      <x:c r="C19" s="49"/>
      <x:c r="D19" s="49"/>
      <x:c r="E19" s="49"/>
      <x:c r="F19" s="49"/>
      <x:c r="G19" s="67"/>
    </x:row>
    <x:row r="20" ht="15" hidden="0" customHeight="1">
      <x:c r="A20" s="67"/>
      <x:c r="B20" s="49"/>
      <x:c r="C20" s="49"/>
      <x:c r="D20" s="49"/>
      <x:c r="E20" s="49"/>
      <x:c r="F20" s="49"/>
      <x:c r="G20" s="67"/>
    </x:row>
    <x:row r="21" ht="15" hidden="0" customHeight="1">
      <x:c r="A21" s="67"/>
      <x:c r="B21" s="49"/>
      <x:c r="C21" s="49"/>
      <x:c r="D21" s="49"/>
      <x:c r="E21" s="49"/>
      <x:c r="F21" s="49"/>
      <x:c r="G21" s="67"/>
    </x:row>
    <x:row r="22" ht="15" hidden="0" customHeight="1">
      <x:c r="A22" s="67"/>
      <x:c r="B22" s="49"/>
      <x:c r="C22" s="49"/>
      <x:c r="D22" s="49"/>
      <x:c r="E22" s="49"/>
      <x:c r="F22" s="49"/>
      <x:c r="G22" s="67"/>
    </x:row>
    <x:row r="23" ht="15" hidden="0" customHeight="1">
      <x:c r="A23" s="67"/>
      <x:c r="B23" s="49"/>
      <x:c r="C23" s="49"/>
      <x:c r="D23" s="49"/>
      <x:c r="E23" s="49"/>
      <x:c r="F23" s="49"/>
      <x:c r="G23" s="67"/>
    </x:row>
    <x:row r="24" ht="15" hidden="0" customHeight="1">
      <x:c r="A24" s="67"/>
      <x:c r="B24" s="49"/>
      <x:c r="C24" s="49"/>
      <x:c r="D24" s="49"/>
      <x:c r="E24" s="49"/>
      <x:c r="F24" s="49"/>
      <x:c r="G24" s="67"/>
    </x:row>
    <x:row r="25" ht="15" hidden="0" customHeight="1">
      <x:c r="A25" s="67"/>
      <x:c r="B25" s="49"/>
      <x:c r="C25" s="49"/>
      <x:c r="D25" s="49"/>
      <x:c r="E25" s="49"/>
      <x:c r="F25" s="49"/>
      <x:c r="G25" s="67"/>
    </x:row>
    <x:row r="26" ht="15" hidden="0" customHeight="1">
      <x:c r="A26" s="67"/>
      <x:c r="B26" s="49"/>
      <x:c r="C26" s="49"/>
      <x:c r="D26" s="49"/>
      <x:c r="E26" s="49"/>
      <x:c r="F26" s="49"/>
      <x:c r="G26" s="67"/>
    </x:row>
    <x:row r="27" ht="15" hidden="0" customHeight="1">
      <x:c r="A27" s="67"/>
      <x:c r="B27" s="49"/>
      <x:c r="C27" s="49"/>
      <x:c r="D27" s="49"/>
      <x:c r="E27" s="49"/>
      <x:c r="F27" s="49"/>
      <x:c r="G27" s="67"/>
    </x:row>
    <x:row r="28" ht="15" hidden="0" customHeight="1">
      <x:c r="A28" s="67"/>
      <x:c r="B28" s="49"/>
      <x:c r="C28" s="49"/>
      <x:c r="D28" s="49"/>
      <x:c r="E28" s="49"/>
      <x:c r="F28" s="49"/>
      <x:c r="G28" s="67"/>
    </x:row>
    <x:row r="29" ht="15" hidden="0" customHeight="1">
      <x:c r="A29" s="67"/>
      <x:c r="B29" s="49"/>
      <x:c r="C29" s="49"/>
      <x:c r="D29" s="49"/>
      <x:c r="E29" s="49"/>
      <x:c r="F29" s="49"/>
      <x:c r="G29" s="67"/>
    </x:row>
    <x:row r="30" ht="15" hidden="0" customHeight="1">
      <x:c r="A30" s="68"/>
      <x:c r="B30" s="41"/>
      <x:c r="C30" s="41"/>
      <x:c r="D30" s="41"/>
      <x:c r="E30" s="41"/>
      <x:c r="F30" s="41"/>
      <x:c r="G30" s="68"/>
    </x:row>
  </x:sheetData>
  <x:mergeCells>
    <x:mergeCell ref="A1:G1"/>
    <x:mergeCell ref="A2:G2"/>
  </x:mergeCells>
  <x:dataValidations count="1">
    <x:dataValidation type="list" sqref="C4:C30">
      <x:formula1>"사업모델,팀·파트너,정책,시장,제품근거,공급·QA,원가 QA,상업검증,초기 구축"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4" hidden="0" customWidth="1"/>
    <x:col min="4" max="4" width="27" hidden="0" customWidth="1"/>
    <x:col min="5" max="5" width="27" hidden="0" customWidth="1"/>
    <x:col min="6" max="6" width="25" hidden="0" customWidth="1"/>
    <x:col min="7" max="7" width="28" hidden="0" customWidth="1"/>
    <x:col min="8" max="8" width="16" hidden="0" customWidth="1"/>
  </x:cols>
  <x:sheetData>
    <x:row r="1" ht="24" hidden="0" customHeight="1">
      <x:c r="A1" s="3" t="str">
        <x:v>06 · BUSINESS MODEL &amp; TEAM</x:v>
      </x:c>
      <x:c r="B1" s="3" t="str">
        <x:v>06 · BUSINESS MODEL &amp; TEAM</x:v>
      </x:c>
      <x:c r="C1" s="3" t="str">
        <x:v>06 · BUSINESS MODEL &amp; TEAM</x:v>
      </x:c>
      <x:c r="D1" s="3" t="str">
        <x:v>06 · BUSINESS MODEL &amp; TEAM</x:v>
      </x:c>
      <x:c r="E1" s="3" t="str">
        <x:v>06 · BUSINESS MODEL &amp; TEAM</x:v>
      </x:c>
      <x:c r="F1" s="3" t="str">
        <x:v>06 · BUSINESS MODEL &amp; TEAM</x:v>
      </x:c>
      <x:c r="G1" s="3" t="str">
        <x:v>06 · BUSINESS MODEL &amp; TEAM</x:v>
      </x:c>
      <x:c r="H1" s="3" t="str">
        <x:v>06 · BUSINESS MODEL &amp; TEAM</x:v>
      </x:c>
    </x:row>
    <x:row r="2" ht="15" hidden="0" customHeight="1">
      <x:c r="A2" s="6" t="str">
        <x:v>두 사업의 역할과 사업화 핵심 인력, 생산 파트너를 한곳에서 확인</x:v>
      </x:c>
      <x:c r="B2" s="6" t="str">
        <x:v>두 사업의 역할과 사업화 핵심 인력, 생산 파트너를 한곳에서 확인</x:v>
      </x:c>
      <x:c r="C2" s="6" t="str">
        <x:v>두 사업의 역할과 사업화 핵심 인력, 생산 파트너를 한곳에서 확인</x:v>
      </x:c>
      <x:c r="D2" s="6" t="str">
        <x:v>두 사업의 역할과 사업화 핵심 인력, 생산 파트너를 한곳에서 확인</x:v>
      </x:c>
      <x:c r="E2" s="6" t="str">
        <x:v>두 사업의 역할과 사업화 핵심 인력, 생산 파트너를 한곳에서 확인</x:v>
      </x:c>
      <x:c r="F2" s="6" t="str">
        <x:v>두 사업의 역할과 사업화 핵심 인력, 생산 파트너를 한곳에서 확인</x:v>
      </x:c>
      <x:c r="G2" s="6" t="str">
        <x:v>두 사업의 역할과 사업화 핵심 인력, 생산 파트너를 한곳에서 확인</x:v>
      </x:c>
      <x:c r="H2" s="6" t="str">
        <x:v>두 사업의 역할과 사업화 핵심 인력, 생산 파트너를 한곳에서 확인</x:v>
      </x:c>
    </x:row>
    <x:row r="3"/>
    <x:row r="4" ht="15" hidden="0" customHeight="1">
      <x:c r="A4" s="34" t="str">
        <x:v>사업 이원화</x:v>
      </x:c>
      <x:c r="B4" s="34" t="str">
        <x:v>사업 이원화</x:v>
      </x:c>
      <x:c r="C4" s="34" t="str">
        <x:v>사업 이원화</x:v>
      </x:c>
      <x:c r="D4" s="34" t="str">
        <x:v>사업 이원화</x:v>
      </x:c>
      <x:c r="E4" s="34" t="str">
        <x:v>사업 이원화</x:v>
      </x:c>
      <x:c r="F4" s="34" t="str">
        <x:v>사업 이원화</x:v>
      </x:c>
      <x:c r="G4" s="34" t="str">
        <x:v>사업 이원화</x:v>
      </x:c>
      <x:c r="H4" s="34" t="str">
        <x:v>사업 이원화</x:v>
      </x:c>
    </x:row>
    <x:row r="5" ht="15" hidden="0" customHeight="1">
      <x:c r="A5" s="31" t="str">
        <x:v>사업명</x:v>
      </x:c>
      <x:c r="B5" s="32" t="str">
        <x:v>구분</x:v>
      </x:c>
      <x:c r="C5" s="32" t="str">
        <x:v>기준 제품</x:v>
      </x:c>
      <x:c r="D5" s="32" t="str">
        <x:v>확장 제품</x:v>
      </x:c>
      <x:c r="E5" s="32" t="str">
        <x:v>매출 방식</x:v>
      </x:c>
      <x:c r="F5" s="32" t="str">
        <x:v>품질 초점</x:v>
      </x:c>
      <x:c r="G5" s="32" t="str">
        <x:v>주요 고객</x:v>
      </x:c>
      <x:c r="H5" s="33" t="str">
        <x:v>자료 기준</x:v>
      </x:c>
    </x:row>
    <x:row r="6" ht="15" hidden="0" customHeight="1">
      <x:c r="A6" s="44" t="str">
        <x:v>가바크루드</x:v>
      </x:c>
      <x:c r="B6" s="40" t="str">
        <x:v>원료 사업</x:v>
      </x:c>
      <x:c r="C6" s="40" t="str">
        <x:v>GABA 20% 기준품</x:v>
      </x:c>
      <x:c r="D6" s="40" t="str">
        <x:v>OEM 5~20% 맞춤 농도</x:v>
      </x:c>
      <x:c r="E6" s="40" t="str">
        <x:v>기준품·주문형 원료 판매</x:v>
      </x:c>
      <x:c r="F6" s="40" t="str">
        <x:v>활성함량·CoA·농도 규격</x:v>
      </x:c>
      <x:c r="G6" s="40" t="str">
        <x:v>사료업체·OEM 발주처</x:v>
      </x:c>
      <x:c r="H6" s="40" t="str">
        <x:v>사용자 제공</x:v>
      </x:c>
    </x:row>
    <x:row r="7" ht="15" hidden="0" customHeight="1">
      <x:c r="A7" s="45" t="str">
        <x:v>가바케어믹스</x:v>
      </x:c>
      <x:c r="B7" s="41" t="str">
        <x:v>배합사료 사업</x:v>
      </x:c>
      <x:c r="C7" s="41" t="str">
        <x:v>가바크루드+미네랄매트릭스</x:v>
      </x:c>
      <x:c r="D7" s="41" t="str">
        <x:v>비육 한우 브랜드 축산용 배합</x:v>
      </x:c>
      <x:c r="E7" s="41" t="str">
        <x:v>배합사료·유료 농장 실증</x:v>
      </x:c>
      <x:c r="F7" s="41" t="str">
        <x:v>육질·생산성·재현성</x:v>
      </x:c>
      <x:c r="G7" s="41" t="str">
        <x:v>한우 브랜드·비육 농장</x:v>
      </x:c>
      <x:c r="H7" s="41" t="str">
        <x:v>사용자 제공</x:v>
      </x:c>
    </x:row>
    <x:row r="8"/>
    <x:row r="9" ht="15" hidden="0" customHeight="1">
      <x:c r="A9" s="46" t="str">
        <x:v>사업화 핵심 인력</x:v>
      </x:c>
      <x:c r="B9" s="46" t="str">
        <x:v>사업화 핵심 인력</x:v>
      </x:c>
      <x:c r="C9" s="46" t="str">
        <x:v>사업화 핵심 인력</x:v>
      </x:c>
      <x:c r="D9" s="46" t="str">
        <x:v>사업화 핵심 인력</x:v>
      </x:c>
      <x:c r="E9" s="46" t="str">
        <x:v>사업화 핵심 인력</x:v>
      </x:c>
      <x:c r="F9" s="46" t="str">
        <x:v>사업화 핵심 인력</x:v>
      </x:c>
      <x:c r="G9" s="46" t="str">
        <x:v>사업화 핵심 인력</x:v>
      </x:c>
      <x:c r="H9" s="46" t="str">
        <x:v>사업화 핵심 인력</x:v>
      </x:c>
    </x:row>
    <x:row r="10" ht="15" hidden="0" customHeight="1">
      <x:c r="A10" s="31" t="str">
        <x:v>성명</x:v>
      </x:c>
      <x:c r="B10" s="32" t="str">
        <x:v>역할</x:v>
      </x:c>
      <x:c r="C10" s="32" t="str">
        <x:v>현재 소속·직책</x:v>
      </x:c>
      <x:c r="D10" s="32" t="str">
        <x:v>주요 경력 1</x:v>
      </x:c>
      <x:c r="E10" s="32" t="str">
        <x:v>주요 경력 2</x:v>
      </x:c>
      <x:c r="F10" s="32" t="str">
        <x:v>전문 영역</x:v>
      </x:c>
      <x:c r="G10" s="32" t="str">
        <x:v>외부 공유 전 확인</x:v>
      </x:c>
      <x:c r="H10" s="33" t="str">
        <x:v>자료 기준</x:v>
      </x:c>
    </x:row>
    <x:row r="11" ht="15" hidden="0" customHeight="1">
      <x:c r="A11" s="93" t="str">
        <x:v>장순욱</x:v>
      </x:c>
      <x:c r="B11" s="40" t="str">
        <x:v>분석기술 전문가</x:v>
      </x:c>
      <x:c r="C11" s="40" t="str">
        <x:v>현 셀핀다 생명과학연구소 부사장</x:v>
      </x:c>
      <x:c r="D11" s="40" t="str">
        <x:v>전 해원바이오 전무</x:v>
      </x:c>
      <x:c r="E11" s="40" t="str">
        <x:v>전 한국신약 연구소장</x:v>
      </x:c>
      <x:c r="F11" s="40" t="str">
        <x:v>분석기술</x:v>
      </x:c>
      <x:c r="G11" s="40" t="str">
        <x:v>재직·경력 확인</x:v>
      </x:c>
      <x:c r="H11" s="40" t="str">
        <x:v>사용자 제공</x:v>
      </x:c>
    </x:row>
    <x:row r="12" ht="24" hidden="0" customHeight="1">
      <x:c r="A12" s="94" t="str">
        <x:v>구자룡</x:v>
      </x:c>
      <x:c r="B12" s="49" t="str">
        <x:v>분석기술 고문</x:v>
      </x:c>
      <x:c r="C12" s="49" t="str">
        <x:v>현 국가공인 시험·검사기관 충남대 농업과학연구소 총괄책임</x:v>
      </x:c>
      <x:c r="D12" s="49" t="str">
        <x:v>전 우성사료 연구소장</x:v>
      </x:c>
      <x:c r="E12" s="49" t="str"/>
      <x:c r="F12" s="49" t="str">
        <x:v>사료 분석·시험검사</x:v>
      </x:c>
      <x:c r="G12" s="49" t="str">
        <x:v>재직·경력 확인</x:v>
      </x:c>
      <x:c r="H12" s="49" t="str">
        <x:v>사용자 제공</x:v>
      </x:c>
    </x:row>
    <x:row r="13" ht="15" hidden="0" customHeight="1">
      <x:c r="A13" s="95" t="str">
        <x:v>박지호</x:v>
      </x:c>
      <x:c r="B13" s="41" t="str">
        <x:v>정밀발효·정제 전문가</x:v>
      </x:c>
      <x:c r="C13" s="41" t="str">
        <x:v>현 셀핀다 생명과학연구소 소장</x:v>
      </x:c>
      <x:c r="D13" s="41" t="str">
        <x:v>전 현대바이오랜드 재직</x:v>
      </x:c>
      <x:c r="E13" s="41" t="str"/>
      <x:c r="F13" s="41" t="str">
        <x:v>정밀발효·정제</x:v>
      </x:c>
      <x:c r="G13" s="41" t="str">
        <x:v>과거 직책·재직 확인</x:v>
      </x:c>
      <x:c r="H13" s="41" t="str">
        <x:v>사용자 제공</x:v>
      </x:c>
    </x:row>
    <x:row r="14"/>
    <x:row r="15" ht="15" hidden="0" customHeight="1">
      <x:c r="A15" s="34" t="str">
        <x:v>생산 파트너와 배양액 생산가능량</x:v>
      </x:c>
      <x:c r="B15" s="34" t="str">
        <x:v>생산 파트너와 배양액 생산가능량</x:v>
      </x:c>
      <x:c r="C15" s="34" t="str">
        <x:v>생산 파트너와 배양액 생산가능량</x:v>
      </x:c>
      <x:c r="D15" s="34" t="str">
        <x:v>생산 파트너와 배양액 생산가능량</x:v>
      </x:c>
      <x:c r="E15" s="34" t="str">
        <x:v>생산 파트너와 배양액 생산가능량</x:v>
      </x:c>
      <x:c r="F15" s="34" t="str">
        <x:v>생산 파트너와 배양액 생산가능량</x:v>
      </x:c>
      <x:c r="G15" s="34" t="str">
        <x:v>생산 파트너와 배양액 생산가능량</x:v>
      </x:c>
      <x:c r="H15" s="34" t="str">
        <x:v>생산 파트너와 배양액 생산가능량</x:v>
      </x:c>
    </x:row>
    <x:row r="16" ht="15" hidden="0" customHeight="1">
      <x:c r="A16" s="31" t="str">
        <x:v>생산 파트너</x:v>
      </x:c>
      <x:c r="B16" s="32" t="str">
        <x:v>배양액 톤/월</x:v>
      </x:c>
      <x:c r="C16" s="32" t="str">
        <x:v>단위</x:v>
      </x:c>
      <x:c r="D16" s="32" t="str">
        <x:v>역할</x:v>
      </x:c>
      <x:c r="E16" s="32" t="str">
        <x:v>계약 상태</x:v>
      </x:c>
      <x:c r="F16" s="32" t="str">
        <x:v>가동 조건</x:v>
      </x:c>
      <x:c r="G16" s="32" t="str">
        <x:v>외부 공유 전 확인</x:v>
      </x:c>
      <x:c r="H16" s="33" t="str">
        <x:v>자료 기준</x:v>
      </x:c>
    </x:row>
    <x:row r="17" ht="15" hidden="0" customHeight="1">
      <x:c r="A17" s="40" t="str">
        <x:v>비전바이오켐</x:v>
      </x:c>
      <x:c r="B17" s="96" t="n">
        <x:v>20</x:v>
      </x:c>
      <x:c r="C17" s="40" t="str">
        <x:v>톤/월</x:v>
      </x:c>
      <x:c r="D17" s="40" t="str">
        <x:v>배양액 생산</x:v>
      </x:c>
      <x:c r="E17" s="40" t="str">
        <x:v>확인 필요</x:v>
      </x:c>
      <x:c r="F17" s="40" t="str">
        <x:v>확인 필요</x:v>
      </x:c>
      <x:c r="G17" s="40" t="str">
        <x:v>계약·실가동·품질체계</x:v>
      </x:c>
      <x:c r="H17" s="40" t="str">
        <x:v>사용자 제공</x:v>
      </x:c>
    </x:row>
    <x:row r="18" ht="15" hidden="0" customHeight="1">
      <x:c r="A18" s="41" t="str">
        <x:v>지에프퍼멘텍</x:v>
      </x:c>
      <x:c r="B18" s="97" t="n">
        <x:v>200</x:v>
      </x:c>
      <x:c r="C18" s="41" t="str">
        <x:v>톤/월</x:v>
      </x:c>
      <x:c r="D18" s="41" t="str">
        <x:v>배양액 생산</x:v>
      </x:c>
      <x:c r="E18" s="41" t="str">
        <x:v>확인 필요</x:v>
      </x:c>
      <x:c r="F18" s="41" t="str">
        <x:v>확인 필요</x:v>
      </x:c>
      <x:c r="G18" s="41" t="str">
        <x:v>계약·실가동·품질체계</x:v>
      </x:c>
      <x:c r="H18" s="41" t="str">
        <x:v>사용자 제공</x:v>
      </x:c>
    </x:row>
    <x:row r="19"/>
    <x:row r="20">
      <x:c r="A20" s="100" t="str">
        <x:f>"사용자 제공 CAPA 합계: 배양액 월 "&amp;TEXT(SUM(B17:B18),"#,##0")&amp;"톤 · CAPA는 생산가능량이며 계약·실가동·품질체계를 확인한 뒤 공급 계획에 반영"</x:f>
        <x:v>사용자 제공 CAPA 합계: 배양액 월 220톤 · CAPA는 생산가능량이며 계약·실가동·품질체계를 확인한 뒤 공급 계획에 반영</x:v>
      </x:c>
      <x:c r="B20" s="100"/>
      <x:c r="C20" s="100"/>
      <x:c r="D20" s="100"/>
      <x:c r="E20" s="100"/>
      <x:c r="F20" s="100"/>
      <x:c r="G20" s="100"/>
      <x:c r="H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</x:row>
  </x:sheetData>
  <x:mergeCells>
    <x:mergeCell ref="A1:H1"/>
    <x:mergeCell ref="A2:H2"/>
    <x:mergeCell ref="A4:H4"/>
    <x:mergeCell ref="A9:H9"/>
    <x:mergeCell ref="A15:H15"/>
    <x:mergeCell ref="A20:H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8" hidden="0" customWidth="1"/>
    <x:col min="4" max="4" width="34" hidden="0" customWidth="1"/>
    <x:col min="5" max="5" width="13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24" hidden="0" customHeight="1">
      <x:c r="A1" s="3" t="str">
        <x:v>07 · GABA CARE MIX VALIDATION</x:v>
      </x:c>
      <x:c r="B1" s="3" t="str">
        <x:v>07 · GABA CARE MIX VALIDATION</x:v>
      </x:c>
      <x:c r="C1" s="3" t="str">
        <x:v>07 · GABA CARE MIX VALIDATION</x:v>
      </x:c>
      <x:c r="D1" s="3" t="str">
        <x:v>07 · GABA CARE MIX VALIDATION</x:v>
      </x:c>
      <x:c r="E1" s="3" t="str">
        <x:v>07 · GABA CARE MIX VALIDATION</x:v>
      </x:c>
      <x:c r="F1" s="3" t="str">
        <x:v>07 · GABA CARE MIX VALIDATION</x:v>
      </x:c>
      <x:c r="G1" s="3" t="str">
        <x:v>07 · GABA CARE MIX VALIDATION</x:v>
      </x:c>
      <x:c r="H1" s="3" t="str">
        <x:v>07 · GABA CARE MIX VALIDATION</x:v>
      </x:c>
    </x:row>
    <x:row r="2" ht="15" hidden="0" customHeight="1">
      <x:c r="A2" s="6" t="str">
        <x:v>30일 제품·사업 준비 · 90일 생산성 조기 신호 · 출하 시 육질 최종 평가</x:v>
      </x:c>
      <x:c r="B2" s="6" t="str">
        <x:v>30일 제품·사업 준비 · 90일 생산성 조기 신호 · 출하 시 육질 최종 평가</x:v>
      </x:c>
      <x:c r="C2" s="6" t="str">
        <x:v>30일 제품·사업 준비 · 90일 생산성 조기 신호 · 출하 시 육질 최종 평가</x:v>
      </x:c>
      <x:c r="D2" s="6" t="str">
        <x:v>30일 제품·사업 준비 · 90일 생산성 조기 신호 · 출하 시 육질 최종 평가</x:v>
      </x:c>
      <x:c r="E2" s="6" t="str">
        <x:v>30일 제품·사업 준비 · 90일 생산성 조기 신호 · 출하 시 육질 최종 평가</x:v>
      </x:c>
      <x:c r="F2" s="6" t="str">
        <x:v>30일 제품·사업 준비 · 90일 생산성 조기 신호 · 출하 시 육질 최종 평가</x:v>
      </x:c>
      <x:c r="G2" s="6" t="str">
        <x:v>30일 제품·사업 준비 · 90일 생산성 조기 신호 · 출하 시 육질 최종 평가</x:v>
      </x:c>
      <x:c r="H2" s="6" t="str">
        <x:v>30일 제품·사업 준비 · 90일 생산성 조기 신호 · 출하 시 육질 최종 평가</x:v>
      </x:c>
    </x:row>
    <x:row r="3"/>
    <x:row r="4">
      <x:c r="A4" s="103" t="str">
        <x:v>목표: 가바케어믹스를 육질 개선과 생산성 향상을 검증하는 비육 한우 브랜드 축산용 배합사료로 고도화</x:v>
      </x:c>
      <x:c r="B4" s="103" t="str">
        <x:v>목표: 가바케어믹스를 육질 개선과 생산성 향상을 검증하는 비육 한우 브랜드 축산용 배합사료로 고도화</x:v>
      </x:c>
      <x:c r="C4" s="103" t="str">
        <x:v>목표: 가바케어믹스를 육질 개선과 생산성 향상을 검증하는 비육 한우 브랜드 축산용 배합사료로 고도화</x:v>
      </x:c>
      <x:c r="D4" s="103" t="str">
        <x:v>목표: 가바케어믹스를 육질 개선과 생산성 향상을 검증하는 비육 한우 브랜드 축산용 배합사료로 고도화</x:v>
      </x:c>
      <x:c r="E4" s="103" t="str">
        <x:v>목표: 가바케어믹스를 육질 개선과 생산성 향상을 검증하는 비육 한우 브랜드 축산용 배합사료로 고도화</x:v>
      </x:c>
      <x:c r="F4" s="103" t="str">
        <x:v>목표: 가바케어믹스를 육질 개선과 생산성 향상을 검증하는 비육 한우 브랜드 축산용 배합사료로 고도화</x:v>
      </x:c>
      <x:c r="G4" s="103" t="str">
        <x:v>목표: 가바케어믹스를 육질 개선과 생산성 향상을 검증하는 비육 한우 브랜드 축산용 배합사료로 고도화</x:v>
      </x:c>
      <x:c r="H4" s="107" t="str">
        <x:v>첫 검증 축종
비육 한우</x:v>
      </x:c>
    </x:row>
    <x:row r="5">
      <x:c r="A5" s="103" t="str">
        <x:v>목표: 가바케어믹스를 육질 개선과 생산성 향상을 검증하는 비육 한우 브랜드 축산용 배합사료로 고도화</x:v>
      </x:c>
      <x:c r="B5" s="103" t="str">
        <x:v>목표: 가바케어믹스를 육질 개선과 생산성 향상을 검증하는 비육 한우 브랜드 축산용 배합사료로 고도화</x:v>
      </x:c>
      <x:c r="C5" s="103" t="str">
        <x:v>목표: 가바케어믹스를 육질 개선과 생산성 향상을 검증하는 비육 한우 브랜드 축산용 배합사료로 고도화</x:v>
      </x:c>
      <x:c r="D5" s="103" t="str">
        <x:v>목표: 가바케어믹스를 육질 개선과 생산성 향상을 검증하는 비육 한우 브랜드 축산용 배합사료로 고도화</x:v>
      </x:c>
      <x:c r="E5" s="103" t="str">
        <x:v>목표: 가바케어믹스를 육질 개선과 생산성 향상을 검증하는 비육 한우 브랜드 축산용 배합사료로 고도화</x:v>
      </x:c>
      <x:c r="F5" s="103" t="str">
        <x:v>목표: 가바케어믹스를 육질 개선과 생산성 향상을 검증하는 비육 한우 브랜드 축산용 배합사료로 고도화</x:v>
      </x:c>
      <x:c r="G5" s="103" t="str">
        <x:v>목표: 가바케어믹스를 육질 개선과 생산성 향상을 검증하는 비육 한우 브랜드 축산용 배합사료로 고도화</x:v>
      </x:c>
      <x:c r="H5" s="107" t="str">
        <x:v>첫 검증 축종
비육 한우</x:v>
      </x:c>
    </x:row>
    <x:row r="6"/>
    <x:row r="7" ht="15" hidden="0" customHeight="1">
      <x:c r="A7" s="46" t="str">
        <x:v>검증 시간표</x:v>
      </x:c>
      <x:c r="B7" s="46" t="str">
        <x:v>검증 시간표</x:v>
      </x:c>
      <x:c r="C7" s="46" t="str">
        <x:v>검증 시간표</x:v>
      </x:c>
      <x:c r="D7" s="46" t="str">
        <x:v>검증 시간표</x:v>
      </x:c>
      <x:c r="E7" s="46" t="str">
        <x:v>검증 시간표</x:v>
      </x:c>
      <x:c r="F7" s="46" t="str">
        <x:v>검증 시간표</x:v>
      </x:c>
      <x:c r="G7" s="46" t="str">
        <x:v>검증 시간표</x:v>
      </x:c>
      <x:c r="H7" s="46" t="str">
        <x:v>검증 시간표</x:v>
      </x:c>
    </x:row>
    <x:row r="8" ht="15" hidden="0" customHeight="1">
      <x:c r="A8" s="31" t="str">
        <x:v>판정 시점</x:v>
      </x:c>
      <x:c r="B8" s="32" t="str">
        <x:v>검증 주제</x:v>
      </x:c>
      <x:c r="C8" s="32" t="str">
        <x:v>주요 지표</x:v>
      </x:c>
      <x:c r="D8" s="32" t="str">
        <x:v>완료 조건</x:v>
      </x:c>
      <x:c r="E8" s="32" t="str">
        <x:v>상태</x:v>
      </x:c>
      <x:c r="F8" s="32" t="str">
        <x:v>책임</x:v>
      </x:c>
      <x:c r="G8" s="32" t="str">
        <x:v>증빙</x:v>
      </x:c>
      <x:c r="H8" s="33" t="str">
        <x:v>주의</x:v>
      </x:c>
    </x:row>
    <x:row r="9" ht="15" hidden="0" customHeight="1">
      <x:c r="A9" s="110" t="str">
        <x:v>30일</x:v>
      </x:c>
      <x:c r="B9" s="40" t="str">
        <x:v>제품·사업 준비</x:v>
      </x:c>
      <x:c r="C9" s="40" t="str">
        <x:v>규격·시험생산·원가·유료 실증</x:v>
      </x:c>
      <x:c r="D9" s="40" t="str">
        <x:v>농장 1곳·발주서 1건·시험계획서</x:v>
      </x:c>
      <x:c r="E9" s="40" t="str">
        <x:v>착수 전</x:v>
      </x:c>
      <x:c r="F9" s="40" t="str">
        <x:v>PM·R&amp;D·Sales</x:v>
      </x:c>
      <x:c r="G9" s="40" t="str">
        <x:v>규격서·성적서·발주서</x:v>
      </x:c>
      <x:c r="H9" s="40" t="str">
        <x:v>효능 확정 시점이 아님</x:v>
      </x:c>
    </x:row>
    <x:row r="10" ht="15" hidden="0" customHeight="1">
      <x:c r="A10" s="111" t="str">
        <x:v>90일</x:v>
      </x:c>
      <x:c r="B10" s="49" t="str">
        <x:v>생산성 조기 신호</x:v>
      </x:c>
      <x:c r="C10" s="49" t="str">
        <x:v>섭취량·ADG·FCR·kg 증체당 사료비</x:v>
      </x:c>
      <x:c r="D10" s="49" t="str">
        <x:v>대조군과 같은 기준으로 비교 가능한 기록</x:v>
      </x:c>
      <x:c r="E10" s="49" t="str">
        <x:v>착수 전</x:v>
      </x:c>
      <x:c r="F10" s="49" t="str">
        <x:v>R&amp;D·농장</x:v>
      </x:c>
      <x:c r="G10" s="49" t="str">
        <x:v>체중·급여량·사료비 기록</x:v>
      </x:c>
      <x:c r="H10" s="49" t="str">
        <x:v>조기 신호로 해석</x:v>
      </x:c>
    </x:row>
    <x:row r="11" ht="15" hidden="0" customHeight="1">
      <x:c r="A11" s="112" t="str">
        <x:v>출하 시</x:v>
      </x:c>
      <x:c r="B11" s="41" t="str">
        <x:v>육질 최종 평가</x:v>
      </x:c>
      <x:c r="C11" s="41" t="str">
        <x:v>도체중·등심단면적·근내지방도·육질등급·등지방</x:v>
      </x:c>
      <x:c r="D11" s="41" t="str">
        <x:v>개체 식별이 연결된 도축 성적</x:v>
      </x:c>
      <x:c r="E11" s="41" t="str">
        <x:v>착수 전</x:v>
      </x:c>
      <x:c r="F11" s="41" t="str">
        <x:v>R&amp;D·농장</x:v>
      </x:c>
      <x:c r="G11" s="41" t="str">
        <x:v>도축 성적서</x:v>
      </x:c>
      <x:c r="H11" s="41" t="str">
        <x:v>사전 최소효과로 판정</x:v>
      </x:c>
    </x:row>
    <x:row r="12"/>
    <x:row r="13" ht="15" hidden="0" customHeight="1">
      <x:c r="A13" s="34" t="str">
        <x:v>신속 검증 실행 단계</x:v>
      </x:c>
      <x:c r="B13" s="34" t="str">
        <x:v>신속 검증 실행 단계</x:v>
      </x:c>
      <x:c r="C13" s="34" t="str">
        <x:v>신속 검증 실행 단계</x:v>
      </x:c>
      <x:c r="D13" s="34" t="str">
        <x:v>신속 검증 실행 단계</x:v>
      </x:c>
      <x:c r="E13" s="34" t="str">
        <x:v>신속 검증 실행 단계</x:v>
      </x:c>
      <x:c r="F13" s="34" t="str">
        <x:v>신속 검증 실행 단계</x:v>
      </x:c>
      <x:c r="G13" s="34" t="str">
        <x:v>신속 검증 실행 단계</x:v>
      </x:c>
      <x:c r="H13" s="34" t="str">
        <x:v>신속 검증 실행 단계</x:v>
      </x:c>
    </x:row>
    <x:row r="14" ht="15" hidden="0" customHeight="1">
      <x:c r="A14" s="31" t="str">
        <x:v>기간</x:v>
      </x:c>
      <x:c r="B14" s="32" t="str">
        <x:v>핵심 과업</x:v>
      </x:c>
      <x:c r="C14" s="32" t="str">
        <x:v>필수 산출물</x:v>
      </x:c>
      <x:c r="D14" s="32" t="str">
        <x:v>다음 결정</x:v>
      </x:c>
      <x:c r="E14" s="32" t="str">
        <x:v>상태</x:v>
      </x:c>
      <x:c r="F14" s="32" t="str">
        <x:v>책임</x:v>
      </x:c>
      <x:c r="G14" s="32" t="str">
        <x:v>목표일</x:v>
      </x:c>
      <x:c r="H14" s="33" t="str">
        <x:v>확인 메모</x:v>
      </x:c>
    </x:row>
    <x:row r="15" ht="15" hidden="0" customHeight="1">
      <x:c r="A15" s="113" t="str">
        <x:v>0~7일</x:v>
      </x:c>
      <x:c r="B15" s="40" t="str">
        <x:v>규격·시험계획 확정</x:v>
      </x:c>
      <x:c r="C15" s="40" t="str">
        <x:v>제품 규격서·품목/표시 검토·대조군 시험계획</x:v>
      </x:c>
      <x:c r="D15" s="40" t="str">
        <x:v>시험생산 승인</x:v>
      </x:c>
      <x:c r="E15" s="40" t="str">
        <x:v>착수 전</x:v>
      </x:c>
      <x:c r="F15" s="40" t="str">
        <x:v>PM·Reg·R&amp;D</x:v>
      </x:c>
      <x:c r="G15" s="66" t="n">
        <x:v>46244</x:v>
      </x:c>
      <x:c r="H15" s="40" t="str"/>
    </x:row>
    <x:row r="16" ht="15" hidden="0" customHeight="1">
      <x:c r="A16" s="114" t="str">
        <x:v>8~21일</x:v>
      </x:c>
      <x:c r="B16" s="49" t="str">
        <x:v>시험생산·원가 확인</x:v>
      </x:c>
      <x:c r="C16" s="49" t="str">
        <x:v>시험생산 1회·3지점 시료·실제 견적</x:v>
      </x:c>
      <x:c r="D16" s="49" t="str">
        <x:v>유료 실증 출고 승인</x:v>
      </x:c>
      <x:c r="E16" s="49" t="str">
        <x:v>착수 전</x:v>
      </x:c>
      <x:c r="F16" s="49" t="str">
        <x:v>R&amp;D·QA·Finance</x:v>
      </x:c>
      <x:c r="G16" s="67" t="n">
        <x:v>46258</x:v>
      </x:c>
      <x:c r="H16" s="49" t="str"/>
    </x:row>
    <x:row r="17" ht="15" hidden="0" customHeight="1">
      <x:c r="A17" s="114" t="str">
        <x:v>22~30일</x:v>
      </x:c>
      <x:c r="B17" s="49" t="str">
        <x:v>유료 농장 실증 착수</x:v>
      </x:c>
      <x:c r="C17" s="49" t="str">
        <x:v>농장 1곳·발주서 1건·기초 체중/섭취량</x:v>
      </x:c>
      <x:c r="D17" s="49" t="str">
        <x:v>90일 관찰 지속</x:v>
      </x:c>
      <x:c r="E17" s="49" t="str">
        <x:v>착수 전</x:v>
      </x:c>
      <x:c r="F17" s="49" t="str">
        <x:v>Sales·R&amp;D</x:v>
      </x:c>
      <x:c r="G17" s="67" t="n">
        <x:v>46267</x:v>
      </x:c>
      <x:c r="H17" s="49" t="str"/>
    </x:row>
    <x:row r="18" ht="15" hidden="0" customHeight="1">
      <x:c r="A18" s="114" t="str">
        <x:v>31~90일</x:v>
      </x:c>
      <x:c r="B18" s="49" t="str">
        <x:v>생산성 조기 신호</x:v>
      </x:c>
      <x:c r="C18" s="49" t="str">
        <x:v>ADG·FCR·kg 증체당 사료비 비교</x:v>
      </x:c>
      <x:c r="D18" s="49" t="str">
        <x:v>배합 보정·시험 지속</x:v>
      </x:c>
      <x:c r="E18" s="49" t="str">
        <x:v>착수 전</x:v>
      </x:c>
      <x:c r="F18" s="49" t="str">
        <x:v>R&amp;D·농장</x:v>
      </x:c>
      <x:c r="G18" s="67" t="n">
        <x:v>46327</x:v>
      </x:c>
      <x:c r="H18" s="49" t="str"/>
    </x:row>
    <x:row r="19" ht="15" hidden="0" customHeight="1">
      <x:c r="A19" s="115" t="str">
        <x:v>출하 시</x:v>
      </x:c>
      <x:c r="B19" s="41" t="str">
        <x:v>육질·경제성 최종 판단</x:v>
      </x:c>
      <x:c r="C19" s="41" t="str">
        <x:v>도축 성적·통합 분석·반복 주문 판단</x:v>
      </x:c>
      <x:c r="D19" s="41" t="str">
        <x:v>브랜드 적용 여부</x:v>
      </x:c>
      <x:c r="E19" s="41" t="str">
        <x:v>착수 전</x:v>
      </x:c>
      <x:c r="F19" s="41" t="str">
        <x:v>PM·R&amp;D·Sales</x:v>
      </x:c>
      <x:c r="G19" s="41" t="str">
        <x:v>출하일 연동</x:v>
      </x:c>
      <x:c r="H19" s="41" t="str"/>
    </x:row>
    <x:row r="20"/>
    <x:row r="21" ht="15" hidden="0" customHeight="1">
      <x:c r="A21" s="117" t="str">
        <x:v>완료 단계</x:v>
      </x:c>
      <x:c r="B21" s="117" t="str">
        <x:v>완료 단계</x:v>
      </x:c>
      <x:c r="C21" s="117" t="n">
        <x:f>COUNTIF(E15:E19,"완료")</x:f>
        <x:v>0</x:v>
      </x:c>
      <x:c r="D21" s="117"/>
      <x:c r="E21" s="117" t="str">
        <x:v>전체 진척률</x:v>
      </x:c>
      <x:c r="F21" s="117" t="str">
        <x:v>전체 진척률</x:v>
      </x:c>
      <x:c r="G21" s="118" t="n">
        <x:f>C21/5</x:f>
        <x:v>0</x:v>
      </x:c>
      <x:c r="H21" s="118"/>
    </x:row>
    <x:row r="22"/>
    <x:row r="23" ht="15" hidden="0" customHeight="1">
      <x:c r="A23" s="46" t="str">
        <x:v>KPI와 판정 기준</x:v>
      </x:c>
      <x:c r="B23" s="46" t="str">
        <x:v>KPI와 판정 기준</x:v>
      </x:c>
      <x:c r="C23" s="46" t="str">
        <x:v>KPI와 판정 기준</x:v>
      </x:c>
      <x:c r="D23" s="46" t="str">
        <x:v>KPI와 판정 기준</x:v>
      </x:c>
      <x:c r="E23" s="46" t="str">
        <x:v>KPI와 판정 기준</x:v>
      </x:c>
      <x:c r="F23" s="46" t="str">
        <x:v>KPI와 판정 기준</x:v>
      </x:c>
      <x:c r="G23" s="46" t="str">
        <x:v>KPI와 판정 기준</x:v>
      </x:c>
      <x:c r="H23" s="46" t="str">
        <x:v>KPI와 판정 기준</x:v>
      </x:c>
    </x:row>
    <x:row r="24" ht="15" hidden="0" customHeight="1">
      <x:c r="A24" s="31" t="str">
        <x:v>구분</x:v>
      </x:c>
      <x:c r="B24" s="32" t="str">
        <x:v>KPI</x:v>
      </x:c>
      <x:c r="C24" s="32" t="str">
        <x:v>측정 항목</x:v>
      </x:c>
      <x:c r="D24" s="32" t="str">
        <x:v>판정 기준</x:v>
      </x:c>
      <x:c r="E24" s="32" t="str">
        <x:v>시점</x:v>
      </x:c>
      <x:c r="F24" s="32" t="str">
        <x:v>증빙</x:v>
      </x:c>
      <x:c r="G24" s="32" t="str">
        <x:v>현재 상태</x:v>
      </x:c>
      <x:c r="H24" s="33" t="str">
        <x:v>주의</x:v>
      </x:c>
    </x:row>
    <x:row r="25" ht="15" hidden="0" customHeight="1">
      <x:c r="A25" s="40" t="str">
        <x:v>핵심 성과</x:v>
      </x:c>
      <x:c r="B25" s="40" t="str">
        <x:v>육질 성과</x:v>
      </x:c>
      <x:c r="C25" s="40" t="str">
        <x:v>도체중·등심단면적·근내지방도·육질등급·등지방</x:v>
      </x:c>
      <x:c r="D25" s="40" t="str">
        <x:v>대조군과 비교해 사전 최소효과 충족</x:v>
      </x:c>
      <x:c r="E25" s="40" t="str">
        <x:v>출하 시</x:v>
      </x:c>
      <x:c r="F25" s="40" t="str">
        <x:v>개체 연결 도축 성적서</x:v>
      </x:c>
      <x:c r="G25" s="40" t="str">
        <x:v>착수 전</x:v>
      </x:c>
      <x:c r="H25" s="40" t="str">
        <x:v>효과를 미리 단정하지 않음</x:v>
      </x:c>
    </x:row>
    <x:row r="26" ht="15" hidden="0" customHeight="1">
      <x:c r="A26" s="49" t="str">
        <x:v>핵심 성과</x:v>
      </x:c>
      <x:c r="B26" s="49" t="str">
        <x:v>생산성</x:v>
      </x:c>
      <x:c r="C26" s="49" t="str">
        <x:v>ADG·FCR·kg 증체당 사료비</x:v>
      </x:c>
      <x:c r="D26" s="49" t="str">
        <x:v>대조군 대비 경제적 개선 확인</x:v>
      </x:c>
      <x:c r="E26" s="49" t="str">
        <x:v>90일·출하 시</x:v>
      </x:c>
      <x:c r="F26" s="49" t="str">
        <x:v>체중·급여량·사료비 기록</x:v>
      </x:c>
      <x:c r="G26" s="49" t="str">
        <x:v>착수 전</x:v>
      </x:c>
      <x:c r="H26" s="49" t="str">
        <x:v>질병·계절·사육조건 기록</x:v>
      </x:c>
    </x:row>
    <x:row r="27" ht="15" hidden="0" customHeight="1">
      <x:c r="A27" s="49" t="str">
        <x:v>사업 성과</x:v>
      </x:c>
      <x:c r="B27" s="49" t="str">
        <x:v>유료 실증</x:v>
      </x:c>
      <x:c r="C27" s="49" t="str">
        <x:v>농장 계약·발주서</x:v>
      </x:c>
      <x:c r="D27" s="49" t="str">
        <x:v>30일 안에 농장 1곳·발주서 1건</x:v>
      </x:c>
      <x:c r="E27" s="49" t="str">
        <x:v>22~30일</x:v>
      </x:c>
      <x:c r="F27" s="49" t="str">
        <x:v>계약서·발주서·시험계획서</x:v>
      </x:c>
      <x:c r="G27" s="49" t="str">
        <x:v>착수 전</x:v>
      </x:c>
      <x:c r="H27" s="49" t="str">
        <x:v>무상 샘플은 제외</x:v>
      </x:c>
    </x:row>
    <x:row r="28" ht="15" hidden="0" customHeight="1">
      <x:c r="A28" s="41" t="str">
        <x:v>품질 기준</x:v>
      </x:c>
      <x:c r="B28" s="41" t="str">
        <x:v>제품 재현성</x:v>
      </x:c>
      <x:c r="C28" s="41" t="str">
        <x:v>활성함량·균일도·안정성·CoA</x:v>
      </x:c>
      <x:c r="D28" s="41" t="str">
        <x:v>시험생산 1회와 3지점 시료가 사전 규격 충족</x:v>
      </x:c>
      <x:c r="E28" s="41" t="str">
        <x:v>8~21일</x:v>
      </x:c>
      <x:c r="F28" s="41" t="str">
        <x:v>시험성적서·생산기록</x:v>
      </x:c>
      <x:c r="G28" s="41" t="str">
        <x:v>착수 전</x:v>
      </x:c>
      <x:c r="H28" s="41" t="str">
        <x:v>규격 미달 시 출고 보류</x:v>
      </x:c>
    </x:row>
    <x:row r="29"/>
    <x:row r="30" ht="15" hidden="0" customHeight="1">
      <x:c r="A30" s="120" t="str">
        <x:v>중단·보류 기준</x:v>
      </x:c>
      <x:c r="B30" s="120" t="str">
        <x:v>중단·보류 기준</x:v>
      </x:c>
      <x:c r="C30" s="120" t="str">
        <x:v>중단·보류 기준</x:v>
      </x:c>
      <x:c r="D30" s="120" t="str">
        <x:v>중단·보류 기준</x:v>
      </x:c>
      <x:c r="E30" s="120" t="str">
        <x:v>중단·보류 기준</x:v>
      </x:c>
      <x:c r="F30" s="120" t="str">
        <x:v>중단·보류 기준</x:v>
      </x:c>
      <x:c r="G30" s="120" t="str">
        <x:v>중단·보류 기준</x:v>
      </x:c>
      <x:c r="H30" s="120" t="str">
        <x:v>중단·보류 기준</x:v>
      </x:c>
    </x:row>
    <x:row r="31" ht="15" hidden="0" customHeight="1">
      <x:c r="A31" s="123" t="str">
        <x:v>• 질병·폐사·이상반응이 대조군보다 증가하면 원인을 검토하고 급여를 중단합니다.</x:v>
      </x:c>
      <x:c r="B31" s="123" t="str">
        <x:v>• 질병·폐사·이상반응이 대조군보다 증가하면 원인을 검토하고 급여를 중단합니다.</x:v>
      </x:c>
      <x:c r="C31" s="123" t="str">
        <x:v>• 질병·폐사·이상반응이 대조군보다 증가하면 원인을 검토하고 급여를 중단합니다.</x:v>
      </x:c>
      <x:c r="D31" s="123" t="str">
        <x:v>• 질병·폐사·이상반응이 대조군보다 증가하면 원인을 검토하고 급여를 중단합니다.</x:v>
      </x:c>
      <x:c r="E31" s="123" t="str">
        <x:v>• 질병·폐사·이상반응이 대조군보다 증가하면 원인을 검토하고 급여를 중단합니다.</x:v>
      </x:c>
      <x:c r="F31" s="123" t="str">
        <x:v>• 질병·폐사·이상반응이 대조군보다 증가하면 원인을 검토하고 급여를 중단합니다.</x:v>
      </x:c>
      <x:c r="G31" s="123" t="str">
        <x:v>• 질병·폐사·이상반응이 대조군보다 증가하면 원인을 검토하고 급여를 중단합니다.</x:v>
      </x:c>
      <x:c r="H31" s="123" t="str">
        <x:v>• 질병·폐사·이상반응이 대조군보다 증가하면 원인을 검토하고 급여를 중단합니다.</x:v>
      </x:c>
    </x:row>
    <x:row r="32" ht="15" hidden="0" customHeight="1">
      <x:c r="A32" s="123" t="str">
        <x:v>• 사료섭취량이 지속해서 감소하면 배합과 기호성을 먼저 확인합니다.</x:v>
      </x:c>
      <x:c r="B32" s="123" t="str">
        <x:v>• 사료섭취량이 지속해서 감소하면 배합과 기호성을 먼저 확인합니다.</x:v>
      </x:c>
      <x:c r="C32" s="123" t="str">
        <x:v>• 사료섭취량이 지속해서 감소하면 배합과 기호성을 먼저 확인합니다.</x:v>
      </x:c>
      <x:c r="D32" s="123" t="str">
        <x:v>• 사료섭취량이 지속해서 감소하면 배합과 기호성을 먼저 확인합니다.</x:v>
      </x:c>
      <x:c r="E32" s="123" t="str">
        <x:v>• 사료섭취량이 지속해서 감소하면 배합과 기호성을 먼저 확인합니다.</x:v>
      </x:c>
      <x:c r="F32" s="123" t="str">
        <x:v>• 사료섭취량이 지속해서 감소하면 배합과 기호성을 먼저 확인합니다.</x:v>
      </x:c>
      <x:c r="G32" s="123" t="str">
        <x:v>• 사료섭취량이 지속해서 감소하면 배합과 기호성을 먼저 확인합니다.</x:v>
      </x:c>
      <x:c r="H32" s="123" t="str">
        <x:v>• 사료섭취량이 지속해서 감소하면 배합과 기호성을 먼저 확인합니다.</x:v>
      </x:c>
    </x:row>
    <x:row r="33" ht="15" hidden="0" customHeight="1">
      <x:c r="A33" s="123" t="str">
        <x:v>• 사료비 증가를 포함한 kg 증체당 비용이 개선되지 않으면 사업 확대를 보류합니다.</x:v>
      </x:c>
      <x:c r="B33" s="123" t="str">
        <x:v>• 사료비 증가를 포함한 kg 증체당 비용이 개선되지 않으면 사업 확대를 보류합니다.</x:v>
      </x:c>
      <x:c r="C33" s="123" t="str">
        <x:v>• 사료비 증가를 포함한 kg 증체당 비용이 개선되지 않으면 사업 확대를 보류합니다.</x:v>
      </x:c>
      <x:c r="D33" s="123" t="str">
        <x:v>• 사료비 증가를 포함한 kg 증체당 비용이 개선되지 않으면 사업 확대를 보류합니다.</x:v>
      </x:c>
      <x:c r="E33" s="123" t="str">
        <x:v>• 사료비 증가를 포함한 kg 증체당 비용이 개선되지 않으면 사업 확대를 보류합니다.</x:v>
      </x:c>
      <x:c r="F33" s="123" t="str">
        <x:v>• 사료비 증가를 포함한 kg 증체당 비용이 개선되지 않으면 사업 확대를 보류합니다.</x:v>
      </x:c>
      <x:c r="G33" s="123" t="str">
        <x:v>• 사료비 증가를 포함한 kg 증체당 비용이 개선되지 않으면 사업 확대를 보류합니다.</x:v>
      </x:c>
      <x:c r="H33" s="123" t="str">
        <x:v>• 사료비 증가를 포함한 kg 증체당 비용이 개선되지 않으면 사업 확대를 보류합니다.</x:v>
      </x:c>
    </x:row>
    <x:row r="34" ht="15" hidden="0" customHeight="1">
      <x:c r="A34" s="123" t="str">
        <x:v>• 품목 분류와 표시 문구를 확인하기 전에는 육질 개선이나 생산성 향상을 확정적으로 홍보하지 않습니다.</x:v>
      </x:c>
      <x:c r="B34" s="123" t="str">
        <x:v>• 품목 분류와 표시 문구를 확인하기 전에는 육질 개선이나 생산성 향상을 확정적으로 홍보하지 않습니다.</x:v>
      </x:c>
      <x:c r="C34" s="123" t="str">
        <x:v>• 품목 분류와 표시 문구를 확인하기 전에는 육질 개선이나 생산성 향상을 확정적으로 홍보하지 않습니다.</x:v>
      </x:c>
      <x:c r="D34" s="123" t="str">
        <x:v>• 품목 분류와 표시 문구를 확인하기 전에는 육질 개선이나 생산성 향상을 확정적으로 홍보하지 않습니다.</x:v>
      </x:c>
      <x:c r="E34" s="123" t="str">
        <x:v>• 품목 분류와 표시 문구를 확인하기 전에는 육질 개선이나 생산성 향상을 확정적으로 홍보하지 않습니다.</x:v>
      </x:c>
      <x:c r="F34" s="123" t="str">
        <x:v>• 품목 분류와 표시 문구를 확인하기 전에는 육질 개선이나 생산성 향상을 확정적으로 홍보하지 않습니다.</x:v>
      </x:c>
      <x:c r="G34" s="123" t="str">
        <x:v>• 품목 분류와 표시 문구를 확인하기 전에는 육질 개선이나 생산성 향상을 확정적으로 홍보하지 않습니다.</x:v>
      </x:c>
      <x:c r="H34" s="123" t="str">
        <x:v>• 품목 분류와 표시 문구를 확인하기 전에는 육질 개선이나 생산성 향상을 확정적으로 홍보하지 않습니다.</x:v>
      </x:c>
    </x:row>
  </x:sheetData>
  <x:mergeCells>
    <x:mergeCell ref="A1:H1"/>
    <x:mergeCell ref="A2:H2"/>
    <x:mergeCell ref="A4:G5"/>
    <x:mergeCell ref="H4:H5"/>
    <x:mergeCell ref="A7:H7"/>
    <x:mergeCell ref="A13:H13"/>
    <x:mergeCell ref="A21:B21"/>
    <x:mergeCell ref="C21:D21"/>
    <x:mergeCell ref="E21:F21"/>
    <x:mergeCell ref="G21:H21"/>
    <x:mergeCell ref="A23:H23"/>
    <x:mergeCell ref="A30:H30"/>
    <x:mergeCell ref="A31:H31"/>
    <x:mergeCell ref="A32:H32"/>
    <x:mergeCell ref="A33:H33"/>
    <x:mergeCell ref="A34:H34"/>
  </x:mergeCells>
  <x:dataValidations count="3">
    <x:dataValidation type="list" sqref="E9:E11">
      <x:formula1>"착수 전,진행 중,완료,중단"</x:formula1>
    </x:dataValidation>
    <x:dataValidation type="list" sqref="E15:E19">
      <x:formula1>"착수 전,진행 중,완료,중단"</x:formula1>
    </x:dataValidation>
    <x:dataValidation type="list" sqref="G25:G28">
      <x:formula1>"착수 전,진행 중,완료,중단"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1" hidden="0" customWidth="1"/>
    <x:col min="4" max="4" width="4" hidden="0" customWidth="1"/>
    <x:col min="5" max="5" width="20" hidden="0" customWidth="1"/>
    <x:col min="6" max="6" width="38" hidden="0" customWidth="1"/>
    <x:col min="7" max="7" width="11" hidden="0" customWidth="1"/>
    <x:col min="8" max="8" width="4" hidden="0" customWidth="1"/>
  </x:cols>
  <x:sheetData>
    <x:row r="1" ht="24" hidden="0" customHeight="1">
      <x:c r="A1" s="3" t="str">
        <x:v>APPENDIX · 산식·판정·면책</x:v>
      </x:c>
      <x:c r="B1" s="3" t="str">
        <x:v>APPENDIX · 산식·판정·면책</x:v>
      </x:c>
      <x:c r="C1" s="3" t="str">
        <x:v>APPENDIX · 산식·판정·면책</x:v>
      </x:c>
      <x:c r="D1" s="3" t="str">
        <x:v>APPENDIX · 산식·판정·면책</x:v>
      </x:c>
      <x:c r="E1" s="3" t="str">
        <x:v>APPENDIX · 산식·판정·면책</x:v>
      </x:c>
      <x:c r="F1" s="3" t="str">
        <x:v>APPENDIX · 산식·판정·면책</x:v>
      </x:c>
      <x:c r="G1" s="3" t="str">
        <x:v>APPENDIX · 산식·판정·면책</x:v>
      </x:c>
      <x:c r="H1" s="3" t="str">
        <x:v>APPENDIX · 산식·판정·면책</x:v>
      </x:c>
    </x:row>
    <x:row r="2" ht="15" hidden="0" customHeight="1">
      <x:c r="A2" s="6" t="str">
        <x:v>마지막 시트는 인덱스의 평가 논리를 빠르게 감사할 수 있는 부록</x:v>
      </x:c>
      <x:c r="B2" s="6" t="str">
        <x:v>마지막 시트는 인덱스의 평가 논리를 빠르게 감사할 수 있는 부록</x:v>
      </x:c>
      <x:c r="C2" s="6" t="str">
        <x:v>마지막 시트는 인덱스의 평가 논리를 빠르게 감사할 수 있는 부록</x:v>
      </x:c>
      <x:c r="D2" s="6" t="str">
        <x:v>마지막 시트는 인덱스의 평가 논리를 빠르게 감사할 수 있는 부록</x:v>
      </x:c>
      <x:c r="E2" s="6" t="str">
        <x:v>마지막 시트는 인덱스의 평가 논리를 빠르게 감사할 수 있는 부록</x:v>
      </x:c>
      <x:c r="F2" s="6" t="str">
        <x:v>마지막 시트는 인덱스의 평가 논리를 빠르게 감사할 수 있는 부록</x:v>
      </x:c>
      <x:c r="G2" s="6" t="str">
        <x:v>마지막 시트는 인덱스의 평가 논리를 빠르게 감사할 수 있는 부록</x:v>
      </x:c>
      <x:c r="H2" s="6" t="str">
        <x:v>마지막 시트는 인덱스의 평가 논리를 빠르게 감사할 수 있는 부록</x:v>
      </x:c>
    </x:row>
    <x:row r="3"/>
    <x:row r="4" ht="15" hidden="0" customHeight="1">
      <x:c r="A4" s="46" t="str">
        <x:v>준비도 점수 판정 원칙</x:v>
      </x:c>
      <x:c r="B4" s="46" t="str">
        <x:v>준비도 점수 판정 원칙</x:v>
      </x:c>
      <x:c r="C4" s="46" t="str">
        <x:v>준비도 점수 판정 원칙</x:v>
      </x:c>
      <x:c r="D4" s="46" t="str">
        <x:v>준비도 점수 판정 원칙</x:v>
      </x:c>
      <x:c r="E4" s="46" t="str">
        <x:v>준비도 점수 판정 원칙</x:v>
      </x:c>
      <x:c r="F4" s="46" t="str">
        <x:v>준비도 점수 판정 원칙</x:v>
      </x:c>
      <x:c r="G4" s="46" t="str">
        <x:v>준비도 점수 판정 원칙</x:v>
      </x:c>
      <x:c r="H4" s="46" t="str">
        <x:v>준비도 점수 판정 원칙</x:v>
      </x:c>
    </x:row>
    <x:row r="5" ht="15" hidden="0" customHeight="1">
      <x:c r="A5" s="40" t="str">
        <x:v>규제·품목분류</x:v>
      </x:c>
      <x:c r="B5" s="40" t="str">
        <x:v>분류·등록·표시 문구의 서면 확인</x:v>
      </x:c>
      <x:c r="C5" s="40" t="str">
        <x:v>0~20</x:v>
      </x:c>
      <x:c r="D5" s="40" t="str"/>
      <x:c r="E5" s="40" t="str">
        <x:v>제품근거</x:v>
      </x:c>
      <x:c r="F5" s="40" t="str">
        <x:v>활성함량·안정성·축종별 유효용량·해당 제품의 시험</x:v>
      </x:c>
      <x:c r="G5" s="40" t="str">
        <x:v>0~20</x:v>
      </x:c>
      <x:c r="H5" s="40" t="str"/>
    </x:row>
    <x:row r="6" ht="24" hidden="0" customHeight="1">
      <x:c r="A6" s="49" t="str">
        <x:v>공급·QA</x:v>
      </x:c>
      <x:c r="B6" s="49" t="str">
        <x:v>OEM 실사·CoA·MOQ·리드타임·변경·회수체계</x:v>
      </x:c>
      <x:c r="C6" s="49" t="str">
        <x:v>0~20</x:v>
      </x:c>
      <x:c r="D6" s="49" t="str"/>
      <x:c r="E6" s="49" t="str">
        <x:v>단위경제성</x:v>
      </x:c>
      <x:c r="F6" s="49" t="str">
        <x:v>견적·수율·포장·물류·채널비를 포함한 감사 가능한 산식</x:v>
      </x:c>
      <x:c r="G6" s="49" t="str">
        <x:v>0~20</x:v>
      </x:c>
      <x:c r="H6" s="49" t="str"/>
    </x:row>
    <x:row r="7" ht="15" hidden="0" customHeight="1">
      <x:c r="A7" s="49" t="str">
        <x:v>상업검증</x:v>
      </x:c>
      <x:c r="B7" s="49" t="str">
        <x:v>유료 PoV·반복 PO·해지/중단 기준</x:v>
      </x:c>
      <x:c r="C7" s="49" t="str">
        <x:v>0~20</x:v>
      </x:c>
      <x:c r="D7" s="49" t="str"/>
      <x:c r="E7" s="49" t="str">
        <x:v>총점</x:v>
      </x:c>
      <x:c r="F7" s="49" t="str">
        <x:v>다섯 축 단순 합계</x:v>
      </x:c>
      <x:c r="G7" s="49" t="str">
        <x:v>0~100</x:v>
      </x:c>
      <x:c r="H7" s="49" t="str"/>
    </x:row>
    <x:row r="8" ht="24" hidden="0" customHeight="1">
      <x:c r="A8" s="49" t="str">
        <x:v>점수상향 조건</x:v>
      </x:c>
      <x:c r="B8" s="49" t="str">
        <x:v>새 증빙의 파일·URL·기준일·결론이 Source Register에 연결될 것</x:v>
      </x:c>
      <x:c r="C8" s="49" t="str"/>
      <x:c r="D8" s="49" t="str"/>
      <x:c r="E8" s="49" t="str">
        <x:v>점수하향 조건</x:v>
      </x:c>
      <x:c r="F8" s="49" t="str">
        <x:v>규정 변경·시험 실패·원가 상승·고객 중단 등 반증을 즉시 반영</x:v>
      </x:c>
      <x:c r="G8" s="49" t="str"/>
      <x:c r="H8" s="49" t="str"/>
    </x:row>
    <x:row r="9" ht="24" hidden="0" customHeight="1">
      <x:c r="A9" s="41" t="str">
        <x:v>주의</x:v>
      </x:c>
      <x:c r="B9" s="41" t="str">
        <x:v>예비 점수는 외부 신용평가·투자등급·제품 효능등급이 아님</x:v>
      </x:c>
      <x:c r="C9" s="41" t="str"/>
      <x:c r="D9" s="41" t="str"/>
      <x:c r="E9" s="41" t="str">
        <x:v>기준일</x:v>
      </x:c>
      <x:c r="F9" s="41" t="str">
        <x:v>2026-08-03</x:v>
      </x:c>
      <x:c r="G9" s="41" t="str"/>
      <x:c r="H9" s="41" t="str"/>
    </x:row>
    <x:row r="10"/>
    <x:row r="11">
      <x:c r="A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1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12">
      <x:c r="A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2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13">
      <x:c r="A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3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14">
      <x:c r="A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4" s="100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</x:sheetData>
  <x:mergeCells>
    <x:mergeCell ref="A1:H1"/>
    <x:mergeCell ref="A2:H2"/>
    <x:mergeCell ref="A4:H4"/>
    <x:mergeCell ref="A11:H14"/>
  </x:mergeCells>
  <x:pageMargins left="0.7" right="0.7" top="0.75" bottom="0.75" header="0.3" footer="0.3"/>
</x:worksheet>
</file>