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comments1.xml" ContentType="application/vnd.openxmlformats-officedocument.spreadsheetml.comments+xml"/>
  <Override PartName="/xl/threadedcomments/threadedcomment.xml" ContentType="application/vnd.ms-excel.threadedcomments+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fe96d3bbf2b24d32" /></Relationships>
</file>

<file path=xl/workbook.xml><?xml version="1.0" encoding="utf-8"?>
<x:workbook xmlns:x="http://schemas.openxmlformats.org/spreadsheetml/2006/main">
  <x:sheets>
    <x:sheet xmlns:r="http://schemas.openxmlformats.org/officeDocument/2006/relationships" name="00_Start" sheetId="1" r:id="R12446e0ca6a14a05"/>
    <x:sheet xmlns:r="http://schemas.openxmlformats.org/officeDocument/2006/relationships" name="01_Readiness" sheetId="2" r:id="R2cb254c649c34c38"/>
    <x:sheet xmlns:r="http://schemas.openxmlformats.org/officeDocument/2006/relationships" name="02_Source_Register" sheetId="3" r:id="R771b90ccf4454d57"/>
    <x:sheet xmlns:r="http://schemas.openxmlformats.org/officeDocument/2006/relationships" name="03_Unit_Economics" sheetId="4" r:id="R45c91d8dcc4e4aa6"/>
    <x:sheet xmlns:r="http://schemas.openxmlformats.org/officeDocument/2006/relationships" name="04_Glossary" sheetId="5" r:id="Rebd8e4bc7b0741f4"/>
    <x:sheet xmlns:r="http://schemas.openxmlformats.org/officeDocument/2006/relationships" name="05_Update_Log" sheetId="6" r:id="Ra2e71059f12d433a"/>
    <x:sheet xmlns:r="http://schemas.openxmlformats.org/officeDocument/2006/relationships" name="06_Business_Model" sheetId="7" r:id="Red3942e919294edb"/>
    <x:sheet xmlns:r="http://schemas.openxmlformats.org/officeDocument/2006/relationships" name="07_CareMix_Validation" sheetId="8" r:id="Rd3fb01e4ae3b4af2"/>
    <x:sheet xmlns:r="http://schemas.openxmlformats.org/officeDocument/2006/relationships" name="08_Project_Timeline" sheetId="9" r:id="R7265c8c7f03b49e2"/>
    <x:sheet xmlns:r="http://schemas.openxmlformats.org/officeDocument/2006/relationships" name="09_Species_Validation" sheetId="10" r:id="R955e6c678df34093"/>
    <x:sheet xmlns:r="http://schemas.openxmlformats.org/officeDocument/2006/relationships" name="99_Appendix" sheetId="11" r:id="R95ba964171d74774"/>
  </x:sheets>
</x:workbook>
</file>

<file path=xl/comments1.xml><?xml version="1.0" encoding="utf-8"?>
<x:comments xmlns:x="http://schemas.openxmlformats.org/spreadsheetml/2006/main">
  <x:authors>
    <x:author>tc={609F94C4-1CDC-C96E-E1EC-F68BBBA242B3}</x:author>
    <x:author>tc={8E5B2C95-2689-6FA5-3CEF-9C6D52D8D12F}</x:author>
    <x:author>tc={6D99753C-4673-B215-BBAD-B439D9B7140B}</x:author>
    <x:author>tc={F4FA07AF-43DD-2FAE-BCAD-529455AB616E}</x:author>
    <x:author>tc={4A1C4B7B-1644-FD38-F3CE-7E2420D0421A}</x:author>
  </x:authors>
  <x:commentList>
    <x:comment ref="B19" authorId="0">
      <x:text>
        <x:r>
          <x:t>[Threaded comment]
Your version of Excel allows you to read this threaded comment; however, any edits to it will get removed if the file is opened in a newer version of Excel. Learn more: https://go.microsoft.com/fwlink/?linkid=870924
Comment:
    배양액 1톤에 GABA 200kg이 있고 최종 가바크루드의 GABA 함량이 20%이므로 이론 생산량은 200kg÷20%=1,000kg입니다.</x:t>
        </x:r>
      </x:text>
    </x:comment>
    <x:comment ref="B20" authorId="1">
      <x:text>
        <x:r>
          <x:t>[Threaded comment]
Your version of Excel allows you to read this threaded comment; however, any edits to it will get removed if the file is opened in a newer version of Excel. Learn more: https://go.microsoft.com/fwlink/?linkid=870924
Comment:
    배양액 고형분 300kg과 말토덱스트린 700kg을 합쳐 가바크루드 1,000kg을 구성합니다. 실제 손실은 시험생산 수율로 보정해야 합니다.</x:t>
        </x:r>
      </x:text>
    </x:comment>
    <x:comment ref="B28" authorId="2">
      <x:text>
        <x:r>
          <x:t>[Threaded comment]
Your version of Excel allows you to read this threaded comment; however, any edits to it will get removed if the file is opened in a newer version of Excel. Learn more: https://go.microsoft.com/fwlink/?linkid=870924
Comment:
    말토덱스트린 실제 공급 단가를 입력해야 최종 매출원가와 매출총이익이 계산됩니다.</x:t>
        </x:r>
      </x:text>
    </x:comment>
    <x:comment ref="B30" authorId="3">
      <x:text>
        <x:r>
          <x:t>[Threaded comment]
Your version of Excel allows you to read this threaded comment; however, any edits to it will get removed if the file is opened in a newer version of Excel. Learn more: https://go.microsoft.com/fwlink/?linkid=870924
Comment:
    건조·검사·포장·공정수율 손실을 배치 총액으로 입력합니다.</x:t>
        </x:r>
      </x:text>
    </x:comment>
    <x:comment ref="B39" authorId="4">
      <x:text>
        <x:r>
          <x:t>[Threaded comment]
Your version of Excel allows you to read this threaded comment; however, any edits to it will get removed if the file is opened in a newer version of Excel. Learn more: https://go.microsoft.com/fwlink/?linkid=870924
Comment:
    75g/사료t은 제품 투입량인지 활성 GABA 투입량인지 확인해야 하며, 논문 용량과 직접 비교하려면 활성함량·제형·축종 정보가 필요합니다.</x:t>
        </x:r>
      </x:text>
    </x:comment>
  </x:commentList>
</x:comments>
</file>

<file path=xl/sharedStrings.xml><?xml version="1.0" encoding="utf-8"?>
<x:sst xmlns:x="http://schemas.openxmlformats.org/spreadsheetml/2006/main"/>
</file>

<file path=xl/styles.xml><?xml version="1.0" encoding="utf-8"?>
<x:styleSheet xmlns:x="http://schemas.openxmlformats.org/spreadsheetml/2006/main">
  <x:numFmts count="7">
    <x:numFmt numFmtId="200" formatCode="yyyy-mm-dd"/>
    <x:numFmt numFmtId="201" formatCode="0%"/>
    <x:numFmt numFmtId="202" formatCode="#,##0.0"/>
    <x:numFmt numFmtId="203" formatCode="0.0%"/>
    <x:numFmt numFmtId="204" formatCode="0.000"/>
    <x:numFmt numFmtId="205" formatCode="0.0"/>
    <x:numFmt numFmtId="206" formatCode="#,##0"/>
  </x:numFmts>
  <x:fonts count="22">
    <x:font>
      <x:sz val="11"/>
      <x:name val="Carlito"/>
    </x:font>
    <x:font>
      <x:b/>
      <x:sz val="20"/>
      <x:color rgb="FFFFFFFF"/>
      <x:name val="Noto Sans KR"/>
    </x:font>
    <x:font>
      <x:sz val="10"/>
      <x:color rgb="FF0B6B50"/>
      <x:name val="Noto Sans KR"/>
    </x:font>
    <x:font>
      <x:b/>
      <x:sz val="28"/>
      <x:color rgb="FF0B6B50"/>
      <x:name val="Noto Sans KR"/>
    </x:font>
    <x:font>
      <x:b/>
      <x:sz val="22"/>
      <x:color rgb="FF315C75"/>
      <x:name val="Noto Sans KR"/>
    </x:font>
    <x:font>
      <x:b/>
      <x:sz val="28"/>
      <x:color rgb="FFB42318"/>
      <x:name val="Noto Sans KR"/>
    </x:font>
    <x:font>
      <x:b/>
      <x:sz val="16"/>
      <x:color rgb="FF17211B"/>
      <x:name val="Noto Sans KR"/>
    </x:font>
    <x:font>
      <x:b/>
      <x:sz val="10"/>
      <x:color rgb="FFFFFFFF"/>
      <x:name val="Noto Sans KR"/>
    </x:font>
    <x:font>
      <x:b/>
      <x:sz val="12"/>
      <x:color rgb="FFFFFFFF"/>
      <x:name val="Noto Sans KR"/>
    </x:font>
    <x:font>
      <x:sz val="10"/>
      <x:color rgb="FF17211B"/>
      <x:name val="Noto Sans KR"/>
    </x:font>
    <x:font>
      <x:b/>
      <x:sz val="10"/>
      <x:color rgb="FF0B6B50"/>
      <x:name val="Noto Sans KR"/>
    </x:font>
    <x:font>
      <x:b/>
      <x:sz val="10"/>
      <x:color rgb="FFB42318"/>
      <x:name val="Noto Sans KR"/>
    </x:font>
    <x:font>
      <x:b/>
      <x:sz val="10"/>
      <x:color rgb="FFB56A00"/>
      <x:name val="Noto Sans KR"/>
    </x:font>
    <x:font>
      <x:b/>
      <x:sz val="11"/>
      <x:color rgb="FF0B6B50"/>
      <x:name val="Noto Sans KR"/>
    </x:font>
    <x:font>
      <x:b/>
      <x:sz val="22"/>
      <x:color rgb="FFFFFFFF"/>
      <x:name val="Noto Sans KR"/>
    </x:font>
    <x:font>
      <x:b/>
      <x:sz val="14"/>
      <x:color rgb="FFFFFFFF"/>
      <x:name val="Noto Sans KR"/>
    </x:font>
    <x:font>
      <x:b/>
      <x:sz val="11"/>
      <x:color rgb="FFFFFFFF"/>
      <x:name val="Noto Sans KR"/>
    </x:font>
    <x:font>
      <x:b/>
      <x:sz val="10"/>
      <x:color rgb="FF315C75"/>
      <x:name val="Noto Sans KR"/>
    </x:font>
    <x:font>
      <x:b/>
      <x:sz val="11"/>
      <x:color rgb="FFB56A00"/>
      <x:name val="Noto Sans KR"/>
    </x:font>
    <x:font>
      <x:b/>
      <x:sz val="15"/>
      <x:color rgb="FFFFFFFF"/>
      <x:name val="Noto Sans KR"/>
    </x:font>
    <x:font>
      <x:b/>
      <x:sz val="13"/>
      <x:color rgb="FF0B6B50"/>
      <x:name val="Noto Sans KR"/>
    </x:font>
    <x:font>
      <x:sz val="10"/>
      <x:color rgb="FFB56A00"/>
      <x:name val="Noto Sans KR"/>
    </x:font>
  </x:fonts>
  <x:fills count="11">
    <x:fill>
      <x:patternFill patternType="none"/>
    </x:fill>
    <x:fill>
      <x:patternFill patternType="gray125"/>
    </x:fill>
    <x:fill>
      <x:patternFill patternType="solid">
        <x:fgColor rgb="FF0B6B50"/>
      </x:patternFill>
    </x:fill>
    <x:fill>
      <x:patternFill patternType="solid">
        <x:fgColor rgb="FFEAF7F2"/>
      </x:patternFill>
    </x:fill>
    <x:fill>
      <x:patternFill patternType="solid">
        <x:fgColor rgb="FFEEF4F7"/>
      </x:patternFill>
    </x:fill>
    <x:fill>
      <x:patternFill patternType="solid">
        <x:fgColor rgb="FFFEF3F2"/>
      </x:patternFill>
    </x:fill>
    <x:fill>
      <x:patternFill patternType="solid">
        <x:fgColor rgb="FFF5F7F6"/>
      </x:patternFill>
    </x:fill>
    <x:fill>
      <x:patternFill patternType="solid">
        <x:fgColor rgb="FF17211B"/>
      </x:patternFill>
    </x:fill>
    <x:fill>
      <x:patternFill patternType="solid">
        <x:fgColor rgb="FFFFF4E5"/>
      </x:patternFill>
    </x:fill>
    <x:fill>
      <x:patternFill patternType="solid">
        <x:fgColor rgb="FF315C75"/>
      </x:patternFill>
    </x:fill>
    <x:fill>
      <x:patternFill patternType="solid">
        <x:fgColor rgb="FFB56A00"/>
      </x:patternFill>
    </x:fill>
  </x:fills>
  <x:borders count="7">
    <x:border/>
    <x:border>
      <x:left style="thin">
        <x:color rgb="FF17211B"/>
      </x:left>
      <x:top style="thin">
        <x:color rgb="FF17211B"/>
      </x:top>
      <x:bottom style="thin">
        <x:color rgb="FF17211B"/>
      </x:bottom>
    </x:border>
    <x:border>
      <x:top style="thin">
        <x:color rgb="FF17211B"/>
      </x:top>
      <x:bottom style="thin">
        <x:color rgb="FF17211B"/>
      </x:bottom>
    </x:border>
    <x:border>
      <x:right style="thin">
        <x:color rgb="FF17211B"/>
      </x:right>
      <x:top style="thin">
        <x:color rgb="FF17211B"/>
      </x:top>
      <x:bottom style="thin">
        <x:color rgb="FF17211B"/>
      </x:bottom>
    </x:border>
    <x:border>
      <x:bottom style="thin">
        <x:color rgb="FFD9E1DC"/>
      </x:bottom>
    </x:border>
    <x:border>
      <x:top style="thin">
        <x:color rgb="FFD9E1DC"/>
      </x:top>
    </x:border>
    <x:border>
      <x:top style="thin">
        <x:color rgb="FFD9E1DC"/>
      </x:top>
      <x:bottom style="thin">
        <x:color rgb="FFD9E1DC"/>
      </x:bottom>
    </x:border>
  </x:borders>
  <x:cellStyleXfs count="1">
    <x:xf numFmtId="0" fontId="0" fillId="0" borderId="0"/>
  </x:cellStyleXfs>
  <x:cellXfs count="132">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3" fillId="3" borderId="0" xfId="0" applyNumberFormat="1" applyFont="1" applyFill="1" applyBorder="1"/>
    <x:xf numFmtId="0" fontId="3" fillId="3" borderId="0" xfId="0" applyNumberFormat="1" applyFont="1" applyFill="1" applyBorder="1" applyAlignment="1">
      <x:alignment horizontal="center"/>
    </x:xf>
    <x:xf numFmtId="0" fontId="3" fillId="3" borderId="0" xfId="0" applyNumberFormat="1" applyFont="1" applyFill="1" applyBorder="1" applyAlignment="1">
      <x:alignment horizontal="center" vertical="center"/>
    </x:xf>
    <x:xf numFmtId="0" fontId="0" fillId="4" borderId="0" xfId="0" applyNumberFormat="1" applyFont="1" applyFill="1" applyBorder="1"/>
    <x:xf numFmtId="0" fontId="4" fillId="4" borderId="0" xfId="0" applyNumberFormat="1" applyFont="1" applyFill="1" applyBorder="1"/>
    <x:xf numFmtId="0" fontId="4" fillId="4" borderId="0" xfId="0" applyNumberFormat="1" applyFont="1" applyFill="1" applyBorder="1" applyAlignment="1">
      <x:alignment horizontal="center"/>
    </x:xf>
    <x:xf numFmtId="0" fontId="4" fillId="4" borderId="0" xfId="0" applyNumberFormat="1" applyFont="1" applyFill="1" applyBorder="1" applyAlignment="1">
      <x:alignment horizontal="center" vertical="center"/>
    </x:xf>
    <x:xf numFmtId="0" fontId="0" fillId="5"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horizontal="center"/>
    </x:xf>
    <x:xf numFmtId="0" fontId="5" fillId="5" borderId="0" xfId="0" applyNumberFormat="1" applyFont="1" applyFill="1" applyBorder="1" applyAlignment="1">
      <x:alignment horizontal="center" vertical="center"/>
    </x:xf>
    <x:xf numFmtId="0" fontId="0" fillId="6" borderId="0" xfId="0" applyNumberFormat="1" applyFont="1" applyFill="1" applyBorder="1"/>
    <x:xf numFmtId="0" fontId="6" fillId="6" borderId="0" xfId="0" applyNumberFormat="1" applyFont="1" applyFill="1" applyBorder="1"/>
    <x:xf numFmtId="200" fontId="6" fillId="6" borderId="0" xfId="0" applyNumberFormat="1" applyFont="1" applyFill="1" applyBorder="1"/>
    <x:xf numFmtId="200" fontId="6" fillId="6" borderId="0" xfId="0" applyNumberFormat="1" applyFont="1" applyFill="1" applyBorder="1" applyAlignment="1">
      <x:alignment horizontal="center"/>
    </x:xf>
    <x:xf numFmtId="200" fontId="6" fillId="6" borderId="0" xfId="0" applyNumberFormat="1" applyFont="1" applyFill="1" applyBorder="1" applyAlignment="1">
      <x:alignment horizontal="center" vertical="center"/>
    </x:xf>
    <x:xf numFmtId="0" fontId="0" fillId="7" borderId="0" xfId="0" applyNumberFormat="1" applyFont="1" applyFill="1" applyBorder="1"/>
    <x:xf numFmtId="0" fontId="7" fillId="7" borderId="0" xfId="0" applyNumberFormat="1" applyFont="1" applyFill="1" applyBorder="1"/>
    <x:xf numFmtId="0" fontId="7" fillId="7" borderId="1" xfId="0" applyNumberFormat="1" applyFont="1" applyFill="1" applyBorder="1"/>
    <x:xf numFmtId="0" fontId="7" fillId="7" borderId="2" xfId="0" applyNumberFormat="1" applyFont="1" applyFill="1" applyBorder="1"/>
    <x:xf numFmtId="0" fontId="7" fillId="7" borderId="3" xfId="0" applyNumberFormat="1" applyFont="1" applyFill="1" applyBorder="1"/>
    <x:xf numFmtId="0" fontId="7" fillId="7" borderId="1" xfId="0" applyNumberFormat="1" applyFont="1" applyFill="1" applyBorder="1" applyAlignment="1">
      <x:alignment wrapText="1"/>
    </x:xf>
    <x:xf numFmtId="0" fontId="7" fillId="7" borderId="2" xfId="0" applyNumberFormat="1" applyFont="1" applyFill="1" applyBorder="1" applyAlignment="1">
      <x:alignment wrapText="1"/>
    </x:xf>
    <x:xf numFmtId="0" fontId="7" fillId="7" borderId="3" xfId="0" applyNumberFormat="1" applyFont="1" applyFill="1" applyBorder="1" applyAlignment="1">
      <x:alignment wrapText="1"/>
    </x:xf>
    <x:xf numFmtId="0" fontId="7" fillId="7" borderId="1" xfId="0" applyNumberFormat="1" applyFont="1" applyFill="1" applyBorder="1" applyAlignment="1">
      <x:alignment vertical="center" wrapText="1"/>
    </x:xf>
    <x:xf numFmtId="0" fontId="7" fillId="7" borderId="2" xfId="0" applyNumberFormat="1" applyFont="1" applyFill="1" applyBorder="1" applyAlignment="1">
      <x:alignment vertical="center" wrapText="1"/>
    </x:xf>
    <x:xf numFmtId="0" fontId="7" fillId="7" borderId="3" xfId="0" applyNumberFormat="1" applyFont="1" applyFill="1" applyBorder="1" applyAlignment="1">
      <x:alignment vertical="center" wrapText="1"/>
    </x:xf>
    <x:xf numFmtId="0" fontId="8" fillId="2" borderId="0" xfId="0" applyNumberFormat="1" applyFont="1" applyFill="1" applyBorder="1"/>
    <x:xf numFmtId="0" fontId="9" fillId="0" borderId="0" xfId="0" applyNumberFormat="1" applyFont="1" applyFill="1" applyBorder="1"/>
    <x:xf numFmtId="0" fontId="9" fillId="0" borderId="4" xfId="0" applyNumberFormat="1" applyFont="1" applyFill="1" applyBorder="1"/>
    <x:xf numFmtId="0" fontId="9" fillId="0" borderId="5" xfId="0" applyNumberFormat="1" applyFont="1" applyFill="1" applyBorder="1"/>
    <x:xf numFmtId="0" fontId="9" fillId="0" borderId="4" xfId="0" applyNumberFormat="1" applyFont="1" applyFill="1" applyBorder="1" applyAlignment="1">
      <x:alignment wrapText="1"/>
    </x:xf>
    <x:xf numFmtId="0" fontId="9" fillId="0" borderId="5" xfId="0" applyNumberFormat="1" applyFont="1" applyFill="1" applyBorder="1" applyAlignment="1">
      <x:alignment wrapText="1"/>
    </x:xf>
    <x:xf numFmtId="0" fontId="9" fillId="0" borderId="4" xfId="0" applyNumberFormat="1" applyFont="1" applyFill="1" applyBorder="1" applyAlignment="1">
      <x:alignment vertical="center" wrapText="1"/>
    </x:xf>
    <x:xf numFmtId="0" fontId="9" fillId="0" borderId="5" xfId="0" applyNumberFormat="1" applyFont="1" applyFill="1" applyBorder="1" applyAlignment="1">
      <x:alignment vertical="center" wrapText="1"/>
    </x:xf>
    <x:xf numFmtId="0" fontId="9" fillId="3" borderId="4" xfId="0" applyNumberFormat="1" applyFont="1" applyFill="1" applyBorder="1" applyAlignment="1">
      <x:alignment vertical="center" wrapText="1"/>
    </x:xf>
    <x:xf numFmtId="0" fontId="9" fillId="3" borderId="5" xfId="0" applyNumberFormat="1" applyFont="1" applyFill="1" applyBorder="1" applyAlignment="1">
      <x:alignment vertical="center" wrapText="1"/>
    </x:xf>
    <x:xf numFmtId="0" fontId="10" fillId="3" borderId="4" xfId="0" applyNumberFormat="1" applyFont="1" applyFill="1" applyBorder="1" applyAlignment="1">
      <x:alignment vertical="center" wrapText="1"/>
    </x:xf>
    <x:xf numFmtId="0" fontId="10" fillId="3" borderId="5" xfId="0" applyNumberFormat="1" applyFont="1" applyFill="1" applyBorder="1" applyAlignment="1">
      <x:alignment vertical="center" wrapText="1"/>
    </x:xf>
    <x:xf numFmtId="0" fontId="8" fillId="7" borderId="0" xfId="0" applyNumberFormat="1" applyFont="1" applyFill="1" applyBorder="1"/>
    <x:xf numFmtId="0" fontId="9" fillId="0" borderId="6" xfId="0" applyNumberFormat="1" applyFont="1" applyFill="1" applyBorder="1"/>
    <x:xf numFmtId="0" fontId="9" fillId="0" borderId="6" xfId="0" applyNumberFormat="1" applyFont="1" applyFill="1" applyBorder="1" applyAlignment="1">
      <x:alignment wrapText="1"/>
    </x:xf>
    <x:xf numFmtId="0" fontId="9" fillId="0" borderId="6" xfId="0" applyNumberFormat="1" applyFont="1" applyFill="1" applyBorder="1" applyAlignment="1">
      <x:alignment vertical="center" wrapText="1"/>
    </x:xf>
    <x:xf numFmtId="0" fontId="9" fillId="5" borderId="4" xfId="0" applyNumberFormat="1" applyFont="1" applyFill="1" applyBorder="1" applyAlignment="1">
      <x:alignment vertical="center" wrapText="1"/>
    </x:xf>
    <x:xf numFmtId="0" fontId="9" fillId="5" borderId="6" xfId="0" applyNumberFormat="1" applyFont="1" applyFill="1" applyBorder="1" applyAlignment="1">
      <x:alignment vertical="center" wrapText="1"/>
    </x:xf>
    <x:xf numFmtId="0" fontId="9" fillId="5" borderId="5" xfId="0" applyNumberFormat="1" applyFont="1" applyFill="1" applyBorder="1" applyAlignment="1">
      <x:alignment vertical="center" wrapText="1"/>
    </x:xf>
    <x:xf numFmtId="0" fontId="11" fillId="5" borderId="4" xfId="0" applyNumberFormat="1" applyFont="1" applyFill="1" applyBorder="1" applyAlignment="1">
      <x:alignment vertical="center" wrapText="1"/>
    </x:xf>
    <x:xf numFmtId="0" fontId="11" fillId="5" borderId="6" xfId="0" applyNumberFormat="1" applyFont="1" applyFill="1" applyBorder="1" applyAlignment="1">
      <x:alignment vertical="center" wrapText="1"/>
    </x:xf>
    <x:xf numFmtId="0" fontId="11" fillId="5" borderId="5" xfId="0" applyNumberFormat="1" applyFont="1" applyFill="1" applyBorder="1" applyAlignment="1">
      <x:alignment vertical="center" wrapText="1"/>
    </x:xf>
    <x:xf numFmtId="0" fontId="11" fillId="5" borderId="4" xfId="0" applyNumberFormat="1" applyFont="1" applyFill="1" applyBorder="1" applyAlignment="1">
      <x:alignment horizontal="center" vertical="center" wrapText="1"/>
    </x:xf>
    <x:xf numFmtId="0" fontId="11" fillId="5" borderId="6" xfId="0" applyNumberFormat="1" applyFont="1" applyFill="1" applyBorder="1" applyAlignment="1">
      <x:alignment horizontal="center" vertical="center" wrapText="1"/>
    </x:xf>
    <x:xf numFmtId="0" fontId="11" fillId="5" borderId="5" xfId="0" applyNumberFormat="1" applyFont="1" applyFill="1" applyBorder="1" applyAlignment="1">
      <x:alignment horizontal="center" vertical="center" wrapText="1"/>
    </x:xf>
    <x:xf numFmtId="0" fontId="0" fillId="8" borderId="0" xfId="0" applyNumberFormat="1" applyFont="1" applyFill="1" applyBorder="1"/>
    <x:xf numFmtId="0" fontId="12" fillId="8" borderId="0" xfId="0" applyNumberFormat="1" applyFont="1" applyFill="1" applyBorder="1"/>
    <x:xf numFmtId="0" fontId="12" fillId="8" borderId="0" xfId="0" applyNumberFormat="1" applyFont="1" applyFill="1" applyBorder="1" applyAlignment="1">
      <x:alignment wrapText="1"/>
    </x:xf>
    <x:xf numFmtId="0" fontId="12" fillId="8" borderId="0" xfId="0" applyNumberFormat="1" applyFont="1" applyFill="1" applyBorder="1" applyAlignment="1">
      <x:alignment vertical="center" wrapText="1"/>
    </x:xf>
    <x:xf numFmtId="201" fontId="9" fillId="0" borderId="4" xfId="0" applyNumberFormat="1" applyFont="1" applyFill="1" applyBorder="1" applyAlignment="1">
      <x:alignment vertical="center" wrapText="1"/>
    </x:xf>
    <x:xf numFmtId="201" fontId="9" fillId="0" borderId="6" xfId="0" applyNumberFormat="1" applyFont="1" applyFill="1" applyBorder="1" applyAlignment="1">
      <x:alignment vertical="center" wrapText="1"/>
    </x:xf>
    <x:xf numFmtId="201" fontId="9" fillId="0" borderId="5" xfId="0" applyNumberFormat="1" applyFont="1" applyFill="1" applyBorder="1" applyAlignment="1">
      <x:alignment vertical="center" wrapText="1"/>
    </x:xf>
    <x:xf numFmtId="200" fontId="9" fillId="0" borderId="4" xfId="0" applyNumberFormat="1" applyFont="1" applyFill="1" applyBorder="1" applyAlignment="1">
      <x:alignment vertical="center" wrapText="1"/>
    </x:xf>
    <x:xf numFmtId="200" fontId="9" fillId="0" borderId="6" xfId="0" applyNumberFormat="1" applyFont="1" applyFill="1" applyBorder="1" applyAlignment="1">
      <x:alignment vertical="center" wrapText="1"/>
    </x:xf>
    <x:xf numFmtId="200" fontId="9" fillId="0" borderId="5" xfId="0" applyNumberFormat="1" applyFont="1" applyFill="1" applyBorder="1" applyAlignment="1">
      <x:alignment vertical="center" wrapText="1"/>
    </x:xf>
    <x:xf numFmtId="0" fontId="13" fillId="3" borderId="0" xfId="0" applyNumberFormat="1" applyFont="1" applyFill="1" applyBorder="1"/>
    <x:xf numFmtId="0" fontId="13" fillId="3" borderId="0" xfId="0" applyNumberFormat="1" applyFont="1" applyFill="1" applyBorder="1" applyAlignment="1">
      <x:alignment wrapText="1"/>
    </x:xf>
    <x:xf numFmtId="0" fontId="13" fillId="3" borderId="0" xfId="0" applyNumberFormat="1" applyFont="1" applyFill="1" applyBorder="1" applyAlignment="1">
      <x:alignment vertical="center" wrapText="1"/>
    </x:xf>
    <x:xf numFmtId="0" fontId="13" fillId="2" borderId="0" xfId="0" applyNumberFormat="1" applyFont="1" applyFill="1" applyBorder="1" applyAlignment="1">
      <x:alignment vertical="center" wrapText="1"/>
    </x:xf>
    <x:xf numFmtId="0" fontId="14" fillId="2" borderId="0" xfId="0" applyNumberFormat="1" applyFont="1" applyFill="1" applyBorder="1" applyAlignment="1">
      <x:alignment vertical="center" wrapText="1"/>
    </x:xf>
    <x:xf numFmtId="0" fontId="14" fillId="2" borderId="0" xfId="0" applyNumberFormat="1" applyFont="1" applyFill="1" applyBorder="1" applyAlignment="1">
      <x:alignment horizontal="center" vertical="center" wrapText="1"/>
    </x:xf>
    <x:xf numFmtId="0" fontId="13" fillId="9" borderId="0" xfId="0" applyNumberFormat="1" applyFont="1" applyFill="1" applyBorder="1" applyAlignment="1">
      <x:alignment vertical="center" wrapText="1"/>
    </x:xf>
    <x:xf numFmtId="0" fontId="15" fillId="9" borderId="0" xfId="0" applyNumberFormat="1" applyFont="1" applyFill="1" applyBorder="1" applyAlignment="1">
      <x:alignment vertical="center" wrapText="1"/>
    </x:xf>
    <x:xf numFmtId="0" fontId="15" fillId="9" borderId="0" xfId="0" applyNumberFormat="1" applyFont="1" applyFill="1" applyBorder="1" applyAlignment="1">
      <x:alignment horizontal="center" vertical="center" wrapText="1"/>
    </x:xf>
    <x:xf numFmtId="0" fontId="9" fillId="7" borderId="4" xfId="0" applyNumberFormat="1" applyFont="1" applyFill="1" applyBorder="1" applyAlignment="1">
      <x:alignment vertical="center" wrapText="1"/>
    </x:xf>
    <x:xf numFmtId="0" fontId="7" fillId="7" borderId="4" xfId="0" applyNumberFormat="1" applyFont="1" applyFill="1" applyBorder="1" applyAlignment="1">
      <x:alignment vertical="center" wrapText="1"/>
    </x:xf>
    <x:xf numFmtId="0" fontId="8" fillId="2" borderId="0" xfId="0" applyNumberFormat="1" applyFont="1" applyFill="1" applyBorder="1" applyAlignment="1">
      <x:alignment vertical="center"/>
    </x:xf>
    <x:xf numFmtId="0" fontId="13" fillId="3" borderId="0" xfId="0" applyNumberFormat="1" applyFont="1" applyFill="1" applyBorder="1" applyAlignment="1">
      <x:alignment horizontal="center"/>
    </x:xf>
    <x:xf numFmtId="0" fontId="13" fillId="3" borderId="0" xfId="0" applyNumberFormat="1" applyFont="1" applyFill="1" applyBorder="1" applyAlignment="1">
      <x:alignment horizontal="center" vertical="center"/>
    </x:xf>
    <x:xf numFmtId="0" fontId="9" fillId="2" borderId="4" xfId="0" applyNumberFormat="1" applyFont="1" applyFill="1" applyBorder="1" applyAlignment="1">
      <x:alignment vertical="center" wrapText="1"/>
    </x:xf>
    <x:xf numFmtId="0" fontId="16" fillId="2" borderId="4" xfId="0" applyNumberFormat="1" applyFont="1" applyFill="1" applyBorder="1" applyAlignment="1">
      <x:alignment vertical="center" wrapText="1"/>
    </x:xf>
    <x:xf numFmtId="0" fontId="9" fillId="2" borderId="6" xfId="0" applyNumberFormat="1" applyFont="1" applyFill="1" applyBorder="1" applyAlignment="1">
      <x:alignment vertical="center" wrapText="1"/>
    </x:xf>
    <x:xf numFmtId="0" fontId="16" fillId="2" borderId="6" xfId="0" applyNumberFormat="1" applyFont="1" applyFill="1" applyBorder="1" applyAlignment="1">
      <x:alignment vertical="center" wrapText="1"/>
    </x:xf>
    <x:xf numFmtId="202" fontId="9" fillId="0" borderId="6" xfId="0" applyNumberFormat="1" applyFont="1" applyFill="1" applyBorder="1" applyAlignment="1">
      <x:alignment vertical="center" wrapText="1"/>
    </x:xf>
    <x:xf numFmtId="202" fontId="16" fillId="2" borderId="6" xfId="0" applyNumberFormat="1" applyFont="1" applyFill="1" applyBorder="1" applyAlignment="1">
      <x:alignment vertical="center" wrapText="1"/>
    </x:xf>
    <x:xf numFmtId="202" fontId="9" fillId="0" borderId="5" xfId="0" applyNumberFormat="1" applyFont="1" applyFill="1" applyBorder="1" applyAlignment="1">
      <x:alignment vertical="center" wrapText="1"/>
    </x:xf>
    <x:xf numFmtId="203" fontId="9" fillId="0" borderId="6" xfId="0" applyNumberFormat="1" applyFont="1" applyFill="1" applyBorder="1" applyAlignment="1">
      <x:alignment vertical="center" wrapText="1"/>
    </x:xf>
    <x:xf numFmtId="204" fontId="9" fillId="0" borderId="6" xfId="0" applyNumberFormat="1" applyFont="1" applyFill="1" applyBorder="1" applyAlignment="1">
      <x:alignment vertical="center" wrapText="1"/>
    </x:xf>
    <x:xf numFmtId="205" fontId="9" fillId="0" borderId="6" xfId="0" applyNumberFormat="1" applyFont="1" applyFill="1" applyBorder="1" applyAlignment="1">
      <x:alignment vertical="center" wrapText="1"/>
    </x:xf>
    <x:xf numFmtId="202" fontId="9" fillId="8" borderId="6" xfId="0" applyNumberFormat="1" applyFont="1" applyFill="1" applyBorder="1" applyAlignment="1">
      <x:alignment vertical="center" wrapText="1"/>
    </x:xf>
    <x:xf numFmtId="204" fontId="9" fillId="8" borderId="6" xfId="0" applyNumberFormat="1" applyFont="1" applyFill="1" applyBorder="1" applyAlignment="1">
      <x:alignment vertical="center" wrapText="1"/>
    </x:xf>
    <x:xf numFmtId="203" fontId="9" fillId="8" borderId="6" xfId="0" applyNumberFormat="1" applyFont="1" applyFill="1" applyBorder="1" applyAlignment="1">
      <x:alignment vertical="center" wrapText="1"/>
    </x:xf>
    <x:xf numFmtId="202" fontId="9" fillId="3" borderId="6" xfId="0" applyNumberFormat="1" applyFont="1" applyFill="1" applyBorder="1" applyAlignment="1">
      <x:alignment vertical="center" wrapText="1"/>
    </x:xf>
    <x:xf numFmtId="203" fontId="9" fillId="3" borderId="6" xfId="0" applyNumberFormat="1" applyFont="1" applyFill="1" applyBorder="1" applyAlignment="1">
      <x:alignment vertical="center" wrapText="1"/>
    </x:xf>
    <x:xf numFmtId="205" fontId="9" fillId="3" borderId="6" xfId="0" applyNumberFormat="1" applyFont="1" applyFill="1" applyBorder="1" applyAlignment="1">
      <x:alignment vertical="center" wrapText="1"/>
    </x:xf>
    <x:xf numFmtId="202" fontId="9" fillId="3" borderId="5" xfId="0" applyNumberFormat="1" applyFont="1" applyFill="1" applyBorder="1" applyAlignment="1">
      <x:alignment vertical="center" wrapText="1"/>
    </x:xf>
    <x:xf numFmtId="0" fontId="9" fillId="4" borderId="4" xfId="0" applyNumberFormat="1" applyFont="1" applyFill="1" applyBorder="1" applyAlignment="1">
      <x:alignment vertical="center" wrapText="1"/>
    </x:xf>
    <x:xf numFmtId="0" fontId="9" fillId="4" borderId="6" xfId="0" applyNumberFormat="1" applyFont="1" applyFill="1" applyBorder="1" applyAlignment="1">
      <x:alignment vertical="center" wrapText="1"/>
    </x:xf>
    <x:xf numFmtId="0" fontId="9" fillId="4" borderId="5" xfId="0" applyNumberFormat="1" applyFont="1" applyFill="1" applyBorder="1" applyAlignment="1">
      <x:alignment vertical="center" wrapText="1"/>
    </x:xf>
    <x:xf numFmtId="0" fontId="17" fillId="4" borderId="4" xfId="0" applyNumberFormat="1" applyFont="1" applyFill="1" applyBorder="1" applyAlignment="1">
      <x:alignment vertical="center" wrapText="1"/>
    </x:xf>
    <x:xf numFmtId="0" fontId="17" fillId="4" borderId="6" xfId="0" applyNumberFormat="1" applyFont="1" applyFill="1" applyBorder="1" applyAlignment="1">
      <x:alignment vertical="center" wrapText="1"/>
    </x:xf>
    <x:xf numFmtId="0" fontId="17" fillId="4" borderId="5" xfId="0" applyNumberFormat="1" applyFont="1" applyFill="1" applyBorder="1" applyAlignment="1">
      <x:alignment vertical="center" wrapText="1"/>
    </x:xf>
    <x:xf numFmtId="206" fontId="9" fillId="0" borderId="4" xfId="0" applyNumberFormat="1" applyFont="1" applyFill="1" applyBorder="1" applyAlignment="1">
      <x:alignment vertical="center" wrapText="1"/>
    </x:xf>
    <x:xf numFmtId="206" fontId="9" fillId="0" borderId="5" xfId="0" applyNumberFormat="1" applyFont="1" applyFill="1" applyBorder="1" applyAlignment="1">
      <x:alignment vertical="center" wrapText="1"/>
    </x:xf>
    <x:xf numFmtId="0" fontId="18" fillId="8" borderId="0" xfId="0" applyNumberFormat="1" applyFont="1" applyFill="1" applyBorder="1"/>
    <x:xf numFmtId="0" fontId="18" fillId="8" borderId="0" xfId="0" applyNumberFormat="1" applyFont="1" applyFill="1" applyBorder="1" applyAlignment="1">
      <x:alignment wrapText="1"/>
    </x:xf>
    <x:xf numFmtId="0" fontId="18" fillId="8" borderId="0" xfId="0" applyNumberFormat="1" applyFont="1" applyFill="1" applyBorder="1" applyAlignment="1">
      <x:alignment vertical="center" wrapText="1"/>
    </x:xf>
    <x:xf numFmtId="0" fontId="19" fillId="2" borderId="0" xfId="0" applyNumberFormat="1" applyFont="1" applyFill="1" applyBorder="1"/>
    <x:xf numFmtId="0" fontId="19" fillId="2" borderId="0" xfId="0" applyNumberFormat="1" applyFont="1" applyFill="1" applyBorder="1" applyAlignment="1">
      <x:alignment wrapText="1"/>
    </x:xf>
    <x:xf numFmtId="0" fontId="19" fillId="2" borderId="0" xfId="0" applyNumberFormat="1" applyFont="1" applyFill="1" applyBorder="1" applyAlignment="1">
      <x:alignment vertical="center" wrapText="1"/>
    </x:xf>
    <x:xf numFmtId="0" fontId="20" fillId="3" borderId="0" xfId="0" applyNumberFormat="1" applyFont="1" applyFill="1" applyBorder="1"/>
    <x:xf numFmtId="0" fontId="20" fillId="3" borderId="0" xfId="0" applyNumberFormat="1" applyFont="1" applyFill="1" applyBorder="1" applyAlignment="1">
      <x:alignment wrapText="1"/>
    </x:xf>
    <x:xf numFmtId="0" fontId="20" fillId="3" borderId="0" xfId="0" applyNumberFormat="1" applyFont="1" applyFill="1" applyBorder="1" applyAlignment="1">
      <x:alignment horizontal="center" wrapText="1"/>
    </x:xf>
    <x:xf numFmtId="0" fontId="20" fillId="3" borderId="0" xfId="0" applyNumberFormat="1" applyFont="1" applyFill="1" applyBorder="1" applyAlignment="1">
      <x:alignment horizontal="center" vertical="center" wrapText="1"/>
    </x:xf>
    <x:xf numFmtId="0" fontId="9" fillId="3" borderId="6" xfId="0" applyNumberFormat="1" applyFont="1" applyFill="1" applyBorder="1" applyAlignment="1">
      <x:alignment vertical="center" wrapText="1"/>
    </x:xf>
    <x:xf numFmtId="0" fontId="10" fillId="3" borderId="6" xfId="0" applyNumberFormat="1" applyFont="1" applyFill="1" applyBorder="1" applyAlignment="1">
      <x:alignment vertical="center" wrapText="1"/>
    </x:xf>
    <x:xf numFmtId="0" fontId="10" fillId="3" borderId="4" xfId="0" applyNumberFormat="1" applyFont="1" applyFill="1" applyBorder="1" applyAlignment="1">
      <x:alignment horizontal="center" vertical="center" wrapText="1"/>
    </x:xf>
    <x:xf numFmtId="0" fontId="10" fillId="3" borderId="6" xfId="0" applyNumberFormat="1" applyFont="1" applyFill="1" applyBorder="1" applyAlignment="1">
      <x:alignment horizontal="center" vertical="center" wrapText="1"/>
    </x:xf>
    <x:xf numFmtId="0" fontId="10" fillId="3" borderId="5" xfId="0" applyNumberFormat="1" applyFont="1" applyFill="1" applyBorder="1" applyAlignment="1">
      <x:alignment horizontal="center" vertical="center" wrapText="1"/>
    </x:xf>
    <x:xf numFmtId="0" fontId="17" fillId="4" borderId="4" xfId="0" applyNumberFormat="1" applyFont="1" applyFill="1" applyBorder="1" applyAlignment="1">
      <x:alignment horizontal="center" vertical="center" wrapText="1"/>
    </x:xf>
    <x:xf numFmtId="0" fontId="17" fillId="4" borderId="6" xfId="0" applyNumberFormat="1" applyFont="1" applyFill="1" applyBorder="1" applyAlignment="1">
      <x:alignment horizontal="center" vertical="center" wrapText="1"/>
    </x:xf>
    <x:xf numFmtId="0" fontId="17" fillId="4" borderId="5" xfId="0" applyNumberFormat="1" applyFont="1" applyFill="1" applyBorder="1" applyAlignment="1">
      <x:alignment horizontal="center" vertical="center" wrapText="1"/>
    </x:xf>
    <x:xf numFmtId="201" fontId="13" fillId="3" borderId="0" xfId="0" applyNumberFormat="1" applyFont="1" applyFill="1" applyBorder="1" applyAlignment="1">
      <x:alignment horizontal="center" vertical="center"/>
    </x:xf>
    <x:xf numFmtId="0" fontId="0" fillId="10" borderId="0" xfId="0" applyNumberFormat="1" applyFont="1" applyFill="1" applyBorder="1"/>
    <x:xf numFmtId="0" fontId="8" fillId="10" borderId="0" xfId="0" applyNumberFormat="1" applyFont="1" applyFill="1" applyBorder="1"/>
    <x:xf numFmtId="0" fontId="21" fillId="8" borderId="0" xfId="0" applyNumberFormat="1" applyFont="1" applyFill="1" applyBorder="1"/>
    <x:xf numFmtId="0" fontId="21" fillId="8" borderId="0" xfId="0" applyNumberFormat="1" applyFont="1" applyFill="1" applyBorder="1" applyAlignment="1">
      <x:alignment wrapText="1"/>
    </x:xf>
    <x:xf numFmtId="0" fontId="21" fillId="8" borderId="0" xfId="0" applyNumberFormat="1" applyFont="1" applyFill="1" applyBorder="1" applyAlignment="1">
      <x:alignment vertical="center"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cdc4f6955c7f4605" /><Relationship Type="http://schemas.openxmlformats.org/officeDocument/2006/relationships/theme" Target="/xl/theme/theme1.xml" Id="Rcd34a6a294ae4107" /><Relationship Type="http://schemas.openxmlformats.org/officeDocument/2006/relationships/sharedStrings" Target="/xl/sharedStrings.xml" Id="Raa07473200844b5b" /><Relationship Type="http://schemas.openxmlformats.org/officeDocument/2006/relationships/worksheet" Target="/xl/worksheets/sheet1.xml" Id="R12446e0ca6a14a05" /><Relationship Type="http://schemas.openxmlformats.org/officeDocument/2006/relationships/worksheet" Target="/xl/worksheets/sheet2.xml" Id="R2cb254c649c34c38" /><Relationship Type="http://schemas.openxmlformats.org/officeDocument/2006/relationships/worksheet" Target="/xl/worksheets/sheet3.xml" Id="R771b90ccf4454d57" /><Relationship Type="http://schemas.openxmlformats.org/officeDocument/2006/relationships/worksheet" Target="/xl/worksheets/sheet4.xml" Id="R45c91d8dcc4e4aa6" /><Relationship Type="http://schemas.openxmlformats.org/officeDocument/2006/relationships/worksheet" Target="/xl/worksheets/sheet5.xml" Id="Rebd8e4bc7b0741f4" /><Relationship Type="http://schemas.openxmlformats.org/officeDocument/2006/relationships/worksheet" Target="/xl/worksheets/sheet6.xml" Id="Ra2e71059f12d433a" /><Relationship Type="http://schemas.openxmlformats.org/officeDocument/2006/relationships/worksheet" Target="/xl/worksheets/sheet7.xml" Id="Red3942e919294edb" /><Relationship Type="http://schemas.openxmlformats.org/officeDocument/2006/relationships/worksheet" Target="/xl/worksheets/sheet8.xml" Id="Rd3fb01e4ae3b4af2" /><Relationship Type="http://schemas.openxmlformats.org/officeDocument/2006/relationships/worksheet" Target="/xl/worksheets/sheet9.xml" Id="R7265c8c7f03b49e2" /><Relationship Type="http://schemas.openxmlformats.org/officeDocument/2006/relationships/worksheet" Target="/xl/worksheets/sheet10.xml" Id="R955e6c678df34093" /><Relationship Type="http://schemas.openxmlformats.org/officeDocument/2006/relationships/worksheet" Target="/xl/worksheets/sheet11.xml" Id="R95ba964171d74774" /><Relationship Type="http://schemas.microsoft.com/office/2017/10/relationships/person" Target="/xl/persons/person.xml" Id="R712d9e6a090d41fb" /></Relationships>
</file>

<file path=xl/persons/person.xml><?xml version="1.0" encoding="utf-8"?>
<xltc:personList xmlns:xltc="http://schemas.microsoft.com/office/spreadsheetml/2018/threadedcomments">
  <xltc:person displayName="GABA Index" id="{E7C5EBEB-FFE8-4395-BC6D-D6646D4AFB40}"/>
</xltc:personList>
</file>

<file path=xl/tables/table1.xml><?xml version="1.0" encoding="utf-8"?>
<x:table xmlns:x="http://schemas.openxmlformats.org/spreadsheetml/2006/main" id="1" name="SourceRegisterTable" displayName="SourceRegisterTable" ref="A3:J18" headerRowCount="1" totalsRowCount="0" totalsRowShown="0">
  <x:tableColumns count="10">
    <x:tableColumn id="1" name="발행/기준일"/>
    <x:tableColumn id="2" name="카테고리"/>
    <x:tableColumn id="3" name="출처/신호"/>
    <x:tableColumn id="4" name="한 줄 의미"/>
    <x:tableColumn id="5" name="신뢰도"/>
    <x:tableColumn id="6" name="상태"/>
    <x:tableColumn id="7" name="다음 확인일"/>
    <x:tableColumn id="8" name="결정·다음 행동"/>
    <x:tableColumn id="9" name="URL/파일"/>
    <x:tableColumn id="10" name="주의사항"/>
  </x:tableColumns>
  <x:tableStyleInfo name="TableStyleMedium2" showFirstColumn="0" showLastColumn="0" showRowStripes="1" showColumnStripes="0"/>
</x:table>
</file>

<file path=xl/tables/table2.xml><?xml version="1.0" encoding="utf-8"?>
<x:table xmlns:x="http://schemas.openxmlformats.org/spreadsheetml/2006/main" id="2" name="GlossaryTable" displayName="GlossaryTable" ref="A3:C33" headerRowCount="1" totalsRowCount="0" totalsRowShown="0">
  <x:tableColumns count="3">
    <x:tableColumn id="1" name="약어/용어"/>
    <x:tableColumn id="2" name="쉬운 뜻"/>
    <x:tableColumn id="3" name="업무에서 이렇게 이해"/>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threadedcomments/threadedcomment.xml><?xml version="1.0" encoding="utf-8"?>
<xltc:ThreadedComments xmlns:xltc="http://schemas.microsoft.com/office/spreadsheetml/2018/threadedcomments">
  <xltc:threadedComment ref="B19" dT="2026-08-03T07:42:24.83" personId="{E7C5EBEB-FFE8-4395-BC6D-D6646D4AFB40}" id="{609F94C4-1CDC-C96E-E1EC-F68BBBA242B3}">
    <xltc:text>배양액 1톤에 GABA 200kg이 있고 최종 가바크루드의 GABA 함량이 20%이므로 이론 생산량은 200kg÷20%=1,000kg입니다.</xltc:text>
  </xltc:threadedComment>
  <xltc:threadedComment ref="B20" dT="2026-08-03T07:42:24.831" personId="{E7C5EBEB-FFE8-4395-BC6D-D6646D4AFB40}" id="{8E5B2C95-2689-6FA5-3CEF-9C6D52D8D12F}">
    <xltc:text>배양액 고형분 300kg과 말토덱스트린 700kg을 합쳐 가바크루드 1,000kg을 구성합니다. 실제 손실은 시험생산 수율로 보정해야 합니다.</xltc:text>
  </xltc:threadedComment>
  <xltc:threadedComment ref="B28" dT="2026-08-03T07:42:24.831" personId="{E7C5EBEB-FFE8-4395-BC6D-D6646D4AFB40}" id="{6D99753C-4673-B215-BBAD-B439D9B7140B}">
    <xltc:text>말토덱스트린 실제 공급 단가를 입력해야 최종 매출원가와 매출총이익이 계산됩니다.</xltc:text>
  </xltc:threadedComment>
  <xltc:threadedComment ref="B30" dT="2026-08-03T07:42:24.831" personId="{E7C5EBEB-FFE8-4395-BC6D-D6646D4AFB40}" id="{F4FA07AF-43DD-2FAE-BCAD-529455AB616E}">
    <xltc:text>건조·검사·포장·공정수율 손실을 배치 총액으로 입력합니다.</xltc:text>
  </xltc:threadedComment>
  <xltc:threadedComment ref="B39" dT="2026-08-03T07:42:24.831" personId="{E7C5EBEB-FFE8-4395-BC6D-D6646D4AFB40}" id="{4A1C4B7B-1644-FD38-F3CE-7E2420D0421A}">
    <xltc:text>75g/사료t은 제품 투입량인지 활성 GABA 투입량인지 확인해야 하며, 논문 용량과 직접 비교하려면 활성함량·제형·축종 정보가 필요합니다.</xltc:text>
  </xltc:threadedComment>
</xltc:ThreadedComments>
</file>

<file path=xl/worksheets/_rels/sheet3.xml.rels>&#65279;<?xml version="1.0" encoding="utf-8"?><Relationships xmlns="http://schemas.openxmlformats.org/package/2006/relationships"><Relationship Type="http://schemas.openxmlformats.org/officeDocument/2006/relationships/table" Target="/xl/tables/table1.xml" Id="R1db5dad0be5946d9" /></Relationships>
</file>

<file path=xl/worksheets/_rels/sheet4.xml.rels>&#65279;<?xml version="1.0" encoding="utf-8"?><Relationships xmlns="http://schemas.openxmlformats.org/package/2006/relationships"><Relationship Type="http://schemas.openxmlformats.org/officeDocument/2006/relationships/comments" Target="/xl/comments1.xml" Id="Rd9315a059d2848e6" /><Relationship Type="http://schemas.openxmlformats.org/officeDocument/2006/relationships/vmlDrawing" Target="/xl/drawings/vmldrawing.vml" Id="R4969205c061b4bc9" /><Relationship Type="http://schemas.microsoft.com/office/2017/10/relationships/threadedComment" Target="/xl/threadedcomments/threadedcomment.xml" Id="Rfdeda7ba49ba494d" /></Relationships>
</file>

<file path=xl/worksheets/_rels/sheet5.xml.rels>&#65279;<?xml version="1.0" encoding="utf-8"?><Relationships xmlns="http://schemas.openxmlformats.org/package/2006/relationships"><Relationship Type="http://schemas.openxmlformats.org/officeDocument/2006/relationships/table" Target="/xl/tables/table2.xml" Id="R4f9b1106496c4303" /></Relationships>
</file>

<file path=xl/worksheets/sheet1.xml><?xml version="1.0" encoding="utf-8"?>
<x:worksheet xmlns:x="http://schemas.openxmlformats.org/spreadsheetml/2006/main">
  <x:sheetViews>
    <x:sheetView showGridLines="0" workbookViewId="0"/>
  </x:sheetViews>
  <x:sheetFormatPr defaultRowHeight="15"/>
  <x:cols>
    <x:col min="1" max="1" width="10" hidden="0" customWidth="1"/>
    <x:col min="2" max="2" width="18" hidden="0" customWidth="1"/>
    <x:col min="3" max="3" width="26" hidden="0" customWidth="1"/>
    <x:col min="4" max="4" width="14" hidden="0" customWidth="1"/>
    <x:col min="5" max="5" width="15" hidden="0" customWidth="1"/>
    <x:col min="6" max="6" width="34" hidden="0" customWidth="1"/>
    <x:col min="7" max="7" width="14" hidden="0" customWidth="1"/>
    <x:col min="8" max="8" width="26" hidden="0" customWidth="1"/>
  </x:cols>
  <x:sheetData>
    <x:row r="1" ht="24" hidden="0" customHeight="1">
      <x:c r="A1" s="3" t="str">
        <x:v>GABA FEED BUSINESS MODEL INDEX</x:v>
      </x:c>
      <x:c r="B1" s="3" t="str">
        <x:v>GABA FEED BUSINESS MODEL INDEX</x:v>
      </x:c>
      <x:c r="C1" s="3" t="str">
        <x:v>GABA FEED BUSINESS MODEL INDEX</x:v>
      </x:c>
      <x:c r="D1" s="3" t="str">
        <x:v>GABA FEED BUSINESS MODEL INDEX</x:v>
      </x:c>
      <x:c r="E1" s="3" t="str">
        <x:v>GABA FEED BUSINESS MODEL INDEX</x:v>
      </x:c>
      <x:c r="F1" s="3" t="str">
        <x:v>GABA FEED BUSINESS MODEL INDEX</x:v>
      </x:c>
      <x:c r="G1" s="3" t="str">
        <x:v>GABA FEED BUSINESS MODEL INDEX</x:v>
      </x:c>
      <x:c r="H1" s="3" t="str">
        <x:v>GABA FEED BUSINESS MODEL INDEX</x:v>
      </x:c>
    </x:row>
    <x:row r="2" ht="15" hidden="0" customHeight="1">
      <x:c r="A2" s="6" t="str">
        <x:v>가바케어믹스를 주요 가축별 브랜드 배합사료로 고도화하고 현재 41점에서 100점까지 필요한 증빙을 관리하는 운영 원장</x:v>
      </x:c>
      <x:c r="B2" s="6" t="str">
        <x:v>가바케어믹스를 주요 가축별 브랜드 배합사료로 고도화하고 현재 41점에서 100점까지 필요한 증빙을 관리하는 운영 원장</x:v>
      </x:c>
      <x:c r="C2" s="6" t="str">
        <x:v>가바케어믹스를 주요 가축별 브랜드 배합사료로 고도화하고 현재 41점에서 100점까지 필요한 증빙을 관리하는 운영 원장</x:v>
      </x:c>
      <x:c r="D2" s="6" t="str">
        <x:v>가바케어믹스를 주요 가축별 브랜드 배합사료로 고도화하고 현재 41점에서 100점까지 필요한 증빙을 관리하는 운영 원장</x:v>
      </x:c>
      <x:c r="E2" s="6" t="str">
        <x:v>가바케어믹스를 주요 가축별 브랜드 배합사료로 고도화하고 현재 41점에서 100점까지 필요한 증빙을 관리하는 운영 원장</x:v>
      </x:c>
      <x:c r="F2" s="6" t="str">
        <x:v>가바케어믹스를 주요 가축별 브랜드 배합사료로 고도화하고 현재 41점에서 100점까지 필요한 증빙을 관리하는 운영 원장</x:v>
      </x:c>
      <x:c r="G2" s="6" t="str">
        <x:v>가바케어믹스를 주요 가축별 브랜드 배합사료로 고도화하고 현재 41점에서 100점까지 필요한 증빙을 관리하는 운영 원장</x:v>
      </x:c>
      <x:c r="H2" s="6" t="str">
        <x:v>가바케어믹스를 주요 가축별 브랜드 배합사료로 고도화하고 현재 41점에서 100점까지 필요한 증빙을 관리하는 운영 원장</x:v>
      </x:c>
    </x:row>
    <x:row r="3"/>
    <x:row r="4" ht="15" hidden="0" customHeight="1">
      <x:c r="A4" s="31" t="str">
        <x:v>준비도 점수</x:v>
      </x:c>
      <x:c r="B4" s="32" t="str">
        <x:v>준비도 점수</x:v>
      </x:c>
      <x:c r="C4" s="32" t="str">
        <x:v>현재 단계</x:v>
      </x:c>
      <x:c r="D4" s="32" t="str">
        <x:v>현재 단계</x:v>
      </x:c>
      <x:c r="E4" s="32" t="str">
        <x:v>100점까지 남은 점수</x:v>
      </x:c>
      <x:c r="F4" s="32" t="str">
        <x:v>100점까지 남은 점수</x:v>
      </x:c>
      <x:c r="G4" s="32" t="str">
        <x:v>기준일</x:v>
      </x:c>
      <x:c r="H4" s="33" t="str">
        <x:v>기준일</x:v>
      </x:c>
    </x:row>
    <x:row r="5">
      <x:c r="A5" s="9" t="n">
        <x:f>'01_Readiness'!C10</x:f>
        <x:v>41</x:v>
      </x:c>
      <x:c r="B5" s="9"/>
      <x:c r="C5" s="13" t="str">
        <x:f>'01_Readiness'!D10</x:f>
        <x:v>VALIDATE</x:v>
      </x:c>
      <x:c r="D5" s="13"/>
      <x:c r="E5" s="17" t="n">
        <x:f>100-'01_Readiness'!C10</x:f>
        <x:v>59</x:v>
      </x:c>
      <x:c r="F5" s="17"/>
      <x:c r="G5" s="22" t="n">
        <x:v>46237</x:v>
      </x:c>
      <x:c r="H5" s="22" t="n">
        <x:v>46237</x:v>
      </x:c>
    </x:row>
    <x:row r="6">
      <x:c r="A6" s="9"/>
      <x:c r="B6" s="9"/>
      <x:c r="C6" s="13"/>
      <x:c r="D6" s="13"/>
      <x:c r="E6" s="17"/>
      <x:c r="F6" s="17"/>
      <x:c r="G6" s="22" t="n">
        <x:v>46237</x:v>
      </x:c>
      <x:c r="H6" s="22" t="n">
        <x:v>46237</x:v>
      </x:c>
    </x:row>
    <x:row r="7"/>
    <x:row r="8" ht="15" hidden="0" customHeight="1">
      <x:c r="A8" s="34" t="str">
        <x:v>두 사업의 역할</x:v>
      </x:c>
      <x:c r="B8" s="34" t="str">
        <x:v>두 사업의 역할</x:v>
      </x:c>
      <x:c r="C8" s="34" t="str">
        <x:v>두 사업의 역할</x:v>
      </x:c>
      <x:c r="D8" s="34" t="str">
        <x:v>두 사업의 역할</x:v>
      </x:c>
      <x:c r="E8" s="34" t="str">
        <x:v>두 사업의 역할</x:v>
      </x:c>
      <x:c r="F8" s="34" t="str">
        <x:v>두 사업의 역할</x:v>
      </x:c>
      <x:c r="G8" s="34" t="str">
        <x:v>두 사업의 역할</x:v>
      </x:c>
      <x:c r="H8" s="34" t="str">
        <x:v>두 사업의 역할</x:v>
      </x:c>
    </x:row>
    <x:row r="9" ht="36" hidden="0" customHeight="1">
      <x:c r="A9" s="40" t="str">
        <x:v>1</x:v>
      </x:c>
      <x:c r="B9" s="44" t="str">
        <x:v>가바크루드</x:v>
      </x:c>
      <x:c r="C9" s="40" t="str">
        <x:v>원료 사업</x:v>
      </x:c>
      <x:c r="D9" s="40" t="str">
        <x:v>GABA 20% 기준품·OEM 5~20%</x:v>
      </x:c>
      <x:c r="E9" s="40" t="str">
        <x:v>매출 방식</x:v>
      </x:c>
      <x:c r="F9" s="40" t="str">
        <x:v>기준품·주문형 원료 판매</x:v>
      </x:c>
      <x:c r="G9" s="40" t="str">
        <x:v>품질 초점</x:v>
      </x:c>
      <x:c r="H9" s="40" t="str">
        <x:v>활성함량·CoA·농도 규격</x:v>
      </x:c>
    </x:row>
    <x:row r="10" ht="24" hidden="0" customHeight="1">
      <x:c r="A10" s="41" t="str">
        <x:v>2</x:v>
      </x:c>
      <x:c r="B10" s="45" t="str">
        <x:v>가바케어믹스</x:v>
      </x:c>
      <x:c r="C10" s="41" t="str">
        <x:v>배합사료 사업</x:v>
      </x:c>
      <x:c r="D10" s="41" t="str">
        <x:v>비육 한우 브랜드 축산용 배합</x:v>
      </x:c>
      <x:c r="E10" s="41" t="str">
        <x:v>매출 방식</x:v>
      </x:c>
      <x:c r="F10" s="41" t="str">
        <x:v>배합사료·유료 농장 실증</x:v>
      </x:c>
      <x:c r="G10" s="41" t="str">
        <x:v>품질 초점</x:v>
      </x:c>
      <x:c r="H10" s="41" t="str">
        <x:v>육질·생산성·재현성</x:v>
      </x:c>
    </x:row>
    <x:row r="11"/>
    <x:row r="12" ht="15" hidden="0" customHeight="1">
      <x:c r="A12" s="46" t="str">
        <x:v>30일 안에 확인할 세 가지</x:v>
      </x:c>
      <x:c r="B12" s="46" t="str">
        <x:v>30일 안에 확인할 세 가지</x:v>
      </x:c>
      <x:c r="C12" s="46" t="str">
        <x:v>30일 안에 확인할 세 가지</x:v>
      </x:c>
      <x:c r="D12" s="46" t="str">
        <x:v>30일 안에 확인할 세 가지</x:v>
      </x:c>
      <x:c r="E12" s="46" t="str">
        <x:v>30일 안에 확인할 세 가지</x:v>
      </x:c>
      <x:c r="F12" s="46" t="str">
        <x:v>30일 안에 확인할 세 가지</x:v>
      </x:c>
      <x:c r="G12" s="46" t="str">
        <x:v>30일 안에 확인할 세 가지</x:v>
      </x:c>
      <x:c r="H12" s="46" t="str">
        <x:v>30일 안에 확인할 세 가지</x:v>
      </x:c>
    </x:row>
    <x:row r="13" ht="24" hidden="0" customHeight="1">
      <x:c r="A13" s="40" t="str">
        <x:v>1</x:v>
      </x:c>
      <x:c r="B13" s="40" t="str">
        <x:v>규제</x:v>
      </x:c>
      <x:c r="C13" s="40" t="str">
        <x:v>GABA·발효배양물의 품목분류와 등록경로</x:v>
      </x:c>
      <x:c r="D13" s="56" t="str">
        <x:v>미확정</x:v>
      </x:c>
      <x:c r="E13" s="40" t="str">
        <x:v>왜 중요한가</x:v>
      </x:c>
      <x:c r="F13" s="40" t="str">
        <x:v>분류가 틀리면 OEM·표시·영업주장을 진행할 수 없음</x:v>
      </x:c>
      <x:c r="G13" s="40" t="str">
        <x:v>다음 행동</x:v>
      </x:c>
      <x:c r="H13" s="40" t="str">
        <x:v>관할기관/전문가 사전검토</x:v>
      </x:c>
    </x:row>
    <x:row r="14" ht="24" hidden="0" customHeight="1">
      <x:c r="A14" s="49" t="str">
        <x:v>2</x:v>
      </x:c>
      <x:c r="B14" s="49" t="str">
        <x:v>제품</x:v>
      </x:c>
      <x:c r="C14" s="49" t="str">
        <x:v>가바케어믹스 규격·시험생산·3지점 시료</x:v>
      </x:c>
      <x:c r="D14" s="57" t="str">
        <x:v>미확정</x:v>
      </x:c>
      <x:c r="E14" s="49" t="str">
        <x:v>왜 중요한가</x:v>
      </x:c>
      <x:c r="F14" s="49" t="str">
        <x:v>활성함량·균일도·안정성이 맞아야 같은 제품으로 비교 가능</x:v>
      </x:c>
      <x:c r="G14" s="49" t="str">
        <x:v>다음 행동</x:v>
      </x:c>
      <x:c r="H14" s="49" t="str">
        <x:v>시험생산 1회 + 사전 규격 판정</x:v>
      </x:c>
    </x:row>
    <x:row r="15" ht="24" hidden="0" customHeight="1">
      <x:c r="A15" s="41" t="str">
        <x:v>3</x:v>
      </x:c>
      <x:c r="B15" s="41" t="str">
        <x:v>상업</x:v>
      </x:c>
      <x:c r="C15" s="41" t="str">
        <x:v>비육 한우 유료 농장 1곳과 발주서 1건</x:v>
      </x:c>
      <x:c r="D15" s="58" t="str">
        <x:v>미확정</x:v>
      </x:c>
      <x:c r="E15" s="41" t="str">
        <x:v>왜 중요한가</x:v>
      </x:c>
      <x:c r="F15" s="41" t="str">
        <x:v>30일 안에 효능을 확정하는 것이 아니라 측정 가능한 실증을 시작해야 함</x:v>
      </x:c>
      <x:c r="G15" s="41" t="str">
        <x:v>다음 행동</x:v>
      </x:c>
      <x:c r="H15" s="41" t="str">
        <x:v>계약·시험계획·기초 기록</x:v>
      </x:c>
    </x:row>
    <x:row r="16"/>
    <x:row r="17" ht="15" hidden="0" customHeight="1">
      <x:c r="A17" s="34" t="str">
        <x:v>업데이트 방법</x:v>
      </x:c>
      <x:c r="B17" s="34" t="str">
        <x:v>업데이트 방법</x:v>
      </x:c>
      <x:c r="C17" s="34" t="str">
        <x:v>업데이트 방법</x:v>
      </x:c>
      <x:c r="D17" s="34" t="str">
        <x:v>업데이트 방법</x:v>
      </x:c>
      <x:c r="E17" s="34" t="str">
        <x:v>업데이트 방법</x:v>
      </x:c>
      <x:c r="F17" s="34" t="str">
        <x:v>업데이트 방법</x:v>
      </x:c>
      <x:c r="G17" s="34" t="str">
        <x:v>업데이트 방법</x:v>
      </x:c>
      <x:c r="H17" s="34" t="str">
        <x:v>업데이트 방법</x:v>
      </x:c>
    </x:row>
    <x:row r="18" ht="24" hidden="0" customHeight="1">
      <x:c r="A18" s="40" t="str">
        <x:v>STEP 1</x:v>
      </x:c>
      <x:c r="B18" s="40" t="str">
        <x:v>02_Source_Register</x:v>
      </x:c>
      <x:c r="C18" s="40" t="str">
        <x:v>새 정책·논문·원가·고객 신호를 한 줄씩 추가</x:v>
      </x:c>
      <x:c r="D18" s="40" t="str"/>
      <x:c r="E18" s="40" t="str">
        <x:v>규칙</x:v>
      </x:c>
      <x:c r="F18" s="40" t="str">
        <x:v>날짜·판단·다음 행동·URL을 반드시 함께 기록</x:v>
      </x:c>
      <x:c r="G18" s="40" t="str"/>
      <x:c r="H18" s="40" t="str"/>
    </x:row>
    <x:row r="19" ht="24" hidden="0" customHeight="1">
      <x:c r="A19" s="49" t="str">
        <x:v>STEP 2</x:v>
      </x:c>
      <x:c r="B19" s="49" t="str">
        <x:v>01_Readiness</x:v>
      </x:c>
      <x:c r="C19" s="49" t="str">
        <x:v>근거가 생긴 항목만 점수를 올리고 미확인 사항을 갱신</x:v>
      </x:c>
      <x:c r="D19" s="49" t="str"/>
      <x:c r="E19" s="49" t="str">
        <x:v>규칙</x:v>
      </x:c>
      <x:c r="F19" s="49" t="str">
        <x:v>말·추정만으로는 점수를 올리지 않음</x:v>
      </x:c>
      <x:c r="G19" s="49" t="str"/>
      <x:c r="H19" s="49" t="str"/>
    </x:row>
    <x:row r="20" ht="24" hidden="0" customHeight="1">
      <x:c r="A20" s="49" t="str">
        <x:v>STEP 3</x:v>
      </x:c>
      <x:c r="B20" s="49" t="str">
        <x:v>03_Unit_Economics</x:v>
      </x:c>
      <x:c r="C20" s="49" t="str">
        <x:v>주황색 입력 셀에 최신 견적·용량·비용 반영</x:v>
      </x:c>
      <x:c r="D20" s="49" t="str"/>
      <x:c r="E20" s="49" t="str">
        <x:v>규칙</x:v>
      </x:c>
      <x:c r="F20" s="49" t="str">
        <x:v>파란/초록 계산 셀은 수정하지 않음</x:v>
      </x:c>
      <x:c r="G20" s="49" t="str"/>
      <x:c r="H20" s="49" t="str"/>
    </x:row>
    <x:row r="21" ht="24" hidden="0" customHeight="1">
      <x:c r="A21" s="41" t="str">
        <x:v>STEP 4</x:v>
      </x:c>
      <x:c r="B21" s="41" t="str">
        <x:v>05_Update_Log</x:v>
      </x:c>
      <x:c r="C21" s="41" t="str">
        <x:v>무엇이 바뀌었고 의사결정이 어떻게 달라졌는지 기록</x:v>
      </x:c>
      <x:c r="D21" s="41" t="str"/>
      <x:c r="E21" s="41" t="str">
        <x:v>규칙</x:v>
      </x:c>
      <x:c r="F21" s="41" t="str">
        <x:v>외부 공유 전 기준일과 검증 상태 확인</x:v>
      </x:c>
      <x:c r="G21" s="41" t="str"/>
      <x:c r="H21" s="41" t="str"/>
    </x:row>
    <x:row r="22"/>
    <x:row r="23">
      <x:c r="A23" s="62" t="str">
        <x:v>주의: 본 원장의 시장·원가·효능 수치는 투자권유나 법률·수의학적 판단이 아니라 검증 순서를 관리하기 위한 자료입니다. 고객 제안 전 품목분류, 표시·광고, 해당 제품의 유효용량, 공장 QA, 실제 견적을 확인하세요.</x:v>
      </x:c>
      <x:c r="B23" s="62" t="str">
        <x:v>주의: 본 원장의 시장·원가·효능 수치는 투자권유나 법률·수의학적 판단이 아니라 검증 순서를 관리하기 위한 자료입니다. 고객 제안 전 품목분류, 표시·광고, 해당 제품의 유효용량, 공장 QA, 실제 견적을 확인하세요.</x:v>
      </x:c>
      <x:c r="C23" s="62" t="str">
        <x:v>주의: 본 원장의 시장·원가·효능 수치는 투자권유나 법률·수의학적 판단이 아니라 검증 순서를 관리하기 위한 자료입니다. 고객 제안 전 품목분류, 표시·광고, 해당 제품의 유효용량, 공장 QA, 실제 견적을 확인하세요.</x:v>
      </x:c>
      <x:c r="D23" s="62" t="str">
        <x:v>주의: 본 원장의 시장·원가·효능 수치는 투자권유나 법률·수의학적 판단이 아니라 검증 순서를 관리하기 위한 자료입니다. 고객 제안 전 품목분류, 표시·광고, 해당 제품의 유효용량, 공장 QA, 실제 견적을 확인하세요.</x:v>
      </x:c>
      <x:c r="E23" s="62" t="str">
        <x:v>주의: 본 원장의 시장·원가·효능 수치는 투자권유나 법률·수의학적 판단이 아니라 검증 순서를 관리하기 위한 자료입니다. 고객 제안 전 품목분류, 표시·광고, 해당 제품의 유효용량, 공장 QA, 실제 견적을 확인하세요.</x:v>
      </x:c>
      <x:c r="F23" s="62" t="str">
        <x:v>주의: 본 원장의 시장·원가·효능 수치는 투자권유나 법률·수의학적 판단이 아니라 검증 순서를 관리하기 위한 자료입니다. 고객 제안 전 품목분류, 표시·광고, 해당 제품의 유효용량, 공장 QA, 실제 견적을 확인하세요.</x:v>
      </x:c>
      <x:c r="G23" s="62" t="str">
        <x:v>주의: 본 원장의 시장·원가·효능 수치는 투자권유나 법률·수의학적 판단이 아니라 검증 순서를 관리하기 위한 자료입니다. 고객 제안 전 품목분류, 표시·광고, 해당 제품의 유효용량, 공장 QA, 실제 견적을 확인하세요.</x:v>
      </x:c>
      <x:c r="H23" s="62" t="str">
        <x:v>주의: 본 원장의 시장·원가·효능 수치는 투자권유나 법률·수의학적 판단이 아니라 검증 순서를 관리하기 위한 자료입니다. 고객 제안 전 품목분류, 표시·광고, 해당 제품의 유효용량, 공장 QA, 실제 견적을 확인하세요.</x:v>
      </x:c>
    </x:row>
    <x:row r="24">
      <x:c r="A24" s="62" t="str">
        <x:v>주의: 본 원장의 시장·원가·효능 수치는 투자권유나 법률·수의학적 판단이 아니라 검증 순서를 관리하기 위한 자료입니다. 고객 제안 전 품목분류, 표시·광고, 해당 제품의 유효용량, 공장 QA, 실제 견적을 확인하세요.</x:v>
      </x:c>
      <x:c r="B24" s="62" t="str">
        <x:v>주의: 본 원장의 시장·원가·효능 수치는 투자권유나 법률·수의학적 판단이 아니라 검증 순서를 관리하기 위한 자료입니다. 고객 제안 전 품목분류, 표시·광고, 해당 제품의 유효용량, 공장 QA, 실제 견적을 확인하세요.</x:v>
      </x:c>
      <x:c r="C24" s="62" t="str">
        <x:v>주의: 본 원장의 시장·원가·효능 수치는 투자권유나 법률·수의학적 판단이 아니라 검증 순서를 관리하기 위한 자료입니다. 고객 제안 전 품목분류, 표시·광고, 해당 제품의 유효용량, 공장 QA, 실제 견적을 확인하세요.</x:v>
      </x:c>
      <x:c r="D24" s="62" t="str">
        <x:v>주의: 본 원장의 시장·원가·효능 수치는 투자권유나 법률·수의학적 판단이 아니라 검증 순서를 관리하기 위한 자료입니다. 고객 제안 전 품목분류, 표시·광고, 해당 제품의 유효용량, 공장 QA, 실제 견적을 확인하세요.</x:v>
      </x:c>
      <x:c r="E24" s="62" t="str">
        <x:v>주의: 본 원장의 시장·원가·효능 수치는 투자권유나 법률·수의학적 판단이 아니라 검증 순서를 관리하기 위한 자료입니다. 고객 제안 전 품목분류, 표시·광고, 해당 제품의 유효용량, 공장 QA, 실제 견적을 확인하세요.</x:v>
      </x:c>
      <x:c r="F24" s="62" t="str">
        <x:v>주의: 본 원장의 시장·원가·효능 수치는 투자권유나 법률·수의학적 판단이 아니라 검증 순서를 관리하기 위한 자료입니다. 고객 제안 전 품목분류, 표시·광고, 해당 제품의 유효용량, 공장 QA, 실제 견적을 확인하세요.</x:v>
      </x:c>
      <x:c r="G24" s="62" t="str">
        <x:v>주의: 본 원장의 시장·원가·효능 수치는 투자권유나 법률·수의학적 판단이 아니라 검증 순서를 관리하기 위한 자료입니다. 고객 제안 전 품목분류, 표시·광고, 해당 제품의 유효용량, 공장 QA, 실제 견적을 확인하세요.</x:v>
      </x:c>
      <x:c r="H24" s="62" t="str">
        <x:v>주의: 본 원장의 시장·원가·효능 수치는 투자권유나 법률·수의학적 판단이 아니라 검증 순서를 관리하기 위한 자료입니다. 고객 제안 전 품목분류, 표시·광고, 해당 제품의 유효용량, 공장 QA, 실제 견적을 확인하세요.</x:v>
      </x:c>
    </x:row>
  </x:sheetData>
  <x:mergeCells>
    <x:mergeCell ref="A1:H1"/>
    <x:mergeCell ref="A2:H2"/>
    <x:mergeCell ref="A4:B4"/>
    <x:mergeCell ref="A5:B6"/>
    <x:mergeCell ref="C4:D4"/>
    <x:mergeCell ref="C5:D6"/>
    <x:mergeCell ref="E4:F4"/>
    <x:mergeCell ref="E5:F6"/>
    <x:mergeCell ref="G4:H4"/>
    <x:mergeCell ref="G5:H6"/>
    <x:mergeCell ref="A8:H8"/>
    <x:mergeCell ref="A12:H12"/>
    <x:mergeCell ref="A17:H17"/>
    <x:mergeCell ref="A23:H24"/>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0" hidden="0" customWidth="1"/>
    <x:col min="2" max="2" width="8" hidden="0" customWidth="1"/>
    <x:col min="3" max="3" width="10" hidden="0" customWidth="1"/>
    <x:col min="4" max="4" width="14" hidden="0" customWidth="1"/>
    <x:col min="5" max="5" width="12" hidden="0" customWidth="1"/>
    <x:col min="6" max="6" width="26" hidden="0" customWidth="1"/>
    <x:col min="7" max="7" width="31" hidden="0" customWidth="1"/>
    <x:col min="8" max="8" width="27" hidden="0" customWidth="1"/>
    <x:col min="9" max="9" width="12" hidden="0" customWidth="1"/>
    <x:col min="10" max="10" width="13" hidden="0" customWidth="1"/>
  </x:cols>
  <x:sheetData>
    <x:row r="1" ht="24" hidden="0" customHeight="1">
      <x:c r="A1" s="3" t="str">
        <x:v>01 · READINESS SCORE</x:v>
      </x:c>
      <x:c r="B1" s="3" t="str">
        <x:v>01 · READINESS SCORE</x:v>
      </x:c>
      <x:c r="C1" s="3" t="str">
        <x:v>01 · READINESS SCORE</x:v>
      </x:c>
      <x:c r="D1" s="3" t="str">
        <x:v>01 · READINESS SCORE</x:v>
      </x:c>
      <x:c r="E1" s="3" t="str">
        <x:v>01 · READINESS SCORE</x:v>
      </x:c>
      <x:c r="F1" s="3" t="str">
        <x:v>01 · READINESS SCORE</x:v>
      </x:c>
      <x:c r="G1" s="3" t="str">
        <x:v>01 · READINESS SCORE</x:v>
      </x:c>
      <x:c r="H1" s="3" t="str">
        <x:v>01 · READINESS SCORE</x:v>
      </x:c>
      <x:c r="I1" s="3" t="str">
        <x:v>01 · READINESS SCORE</x:v>
      </x:c>
      <x:c r="J1" s="3" t="str">
        <x:v>01 · READINESS SCORE</x:v>
      </x:c>
    </x:row>
    <x:row r="2" ht="15" hidden="0" customHeight="1">
      <x:c r="A2" s="6" t="str">
        <x:v>0~100점: 미확인 항목은 보수적으로 낮게 평가하고 증빙이 연결될 때만 상향</x:v>
      </x:c>
      <x:c r="B2" s="6" t="str">
        <x:v>0~100점: 미확인 항목은 보수적으로 낮게 평가하고 증빙이 연결될 때만 상향</x:v>
      </x:c>
      <x:c r="C2" s="6" t="str">
        <x:v>0~100점: 미확인 항목은 보수적으로 낮게 평가하고 증빙이 연결될 때만 상향</x:v>
      </x:c>
      <x:c r="D2" s="6" t="str">
        <x:v>0~100점: 미확인 항목은 보수적으로 낮게 평가하고 증빙이 연결될 때만 상향</x:v>
      </x:c>
      <x:c r="E2" s="6" t="str">
        <x:v>0~100점: 미확인 항목은 보수적으로 낮게 평가하고 증빙이 연결될 때만 상향</x:v>
      </x:c>
      <x:c r="F2" s="6" t="str">
        <x:v>0~100점: 미확인 항목은 보수적으로 낮게 평가하고 증빙이 연결될 때만 상향</x:v>
      </x:c>
      <x:c r="G2" s="6" t="str">
        <x:v>0~100점: 미확인 항목은 보수적으로 낮게 평가하고 증빙이 연결될 때만 상향</x:v>
      </x:c>
      <x:c r="H2" s="6" t="str">
        <x:v>0~100점: 미확인 항목은 보수적으로 낮게 평가하고 증빙이 연결될 때만 상향</x:v>
      </x:c>
      <x:c r="I2" s="6" t="str">
        <x:v>0~100점: 미확인 항목은 보수적으로 낮게 평가하고 증빙이 연결될 때만 상향</x:v>
      </x:c>
      <x:c r="J2" s="6" t="str">
        <x:v>0~100점: 미확인 항목은 보수적으로 낮게 평가하고 증빙이 연결될 때만 상향</x:v>
      </x:c>
    </x:row>
    <x:row r="3" ht="15" hidden="0" customHeight="1">
      <x:c r="A3" s="31" t="str">
        <x:v>평가축</x:v>
      </x:c>
      <x:c r="B3" s="32" t="str">
        <x:v>배점</x:v>
      </x:c>
      <x:c r="C3" s="32" t="str">
        <x:v>현재점수</x:v>
      </x:c>
      <x:c r="D3" s="32" t="str">
        <x:v>진척률</x:v>
      </x:c>
      <x:c r="E3" s="32" t="str">
        <x:v>상태</x:v>
      </x:c>
      <x:c r="F3" s="32" t="str">
        <x:v>확인된 것</x:v>
      </x:c>
      <x:c r="G3" s="32" t="str">
        <x:v>미확인 사항</x:v>
      </x:c>
      <x:c r="H3" s="32" t="str">
        <x:v>다음 증빙</x:v>
      </x:c>
      <x:c r="I3" s="32" t="str">
        <x:v>오너</x:v>
      </x:c>
      <x:c r="J3" s="33" t="str">
        <x:v>목표일</x:v>
      </x:c>
    </x:row>
    <x:row r="4" ht="15" hidden="0" customHeight="1">
      <x:c r="A4" s="40" t="str">
        <x:v>규제·품목분류</x:v>
      </x:c>
      <x:c r="B4" s="40" t="n">
        <x:v>20</x:v>
      </x:c>
      <x:c r="C4" s="40" t="n">
        <x:v>6</x:v>
      </x:c>
      <x:c r="D4" s="63" t="n">
        <x:f>C4/B4</x:f>
        <x:v>0.3</x:v>
      </x:c>
      <x:c r="E4" s="40" t="str">
        <x:v>검증 필요</x:v>
      </x:c>
      <x:c r="F4" s="40" t="str">
        <x:v>현행 규정·심의절차 파악</x:v>
      </x:c>
      <x:c r="G4" s="40" t="str">
        <x:v>GABA/배양물 분류·등록경로 미확정</x:v>
      </x:c>
      <x:c r="H4" s="40" t="str">
        <x:v>사전검토 의견서와 표시 가능 문구 확정</x:v>
      </x:c>
      <x:c r="I4" s="40" t="str">
        <x:v>Reg/QA</x:v>
      </x:c>
      <x:c r="J4" s="66" t="n">
        <x:v>46244</x:v>
      </x:c>
    </x:row>
    <x:row r="5" ht="24" hidden="0" customHeight="1">
      <x:c r="A5" s="49" t="str">
        <x:v>제품근거·유효용량</x:v>
      </x:c>
      <x:c r="B5" s="49" t="n">
        <x:v>20</x:v>
      </x:c>
      <x:c r="C5" s="49" t="n">
        <x:v>8</x:v>
      </x:c>
      <x:c r="D5" s="64" t="n">
        <x:f>C5/B5</x:f>
        <x:v>0.4</x:v>
      </x:c>
      <x:c r="E5" s="49" t="str">
        <x:v>부분 근거</x:v>
      </x:c>
      <x:c r="F5" s="49" t="str">
        <x:v>축종별 논문 존재; 결과는 혼합</x:v>
      </x:c>
      <x:c r="G5" s="49" t="str">
        <x:v>활성함량·안정성·제형·원본 용량 연결 없음</x:v>
      </x:c>
      <x:c r="H5" s="49" t="str">
        <x:v>제품 규격·안정성·6개 축종군 대조군 시험계획과 완료 결과</x:v>
      </x:c>
      <x:c r="I5" s="49" t="str">
        <x:v>R&amp;D</x:v>
      </x:c>
      <x:c r="J5" s="67" t="n">
        <x:v>46477</x:v>
      </x:c>
    </x:row>
    <x:row r="6" ht="24" hidden="0" customHeight="1">
      <x:c r="A6" s="49" t="str">
        <x:v>공급·QA</x:v>
      </x:c>
      <x:c r="B6" s="49" t="n">
        <x:v>20</x:v>
      </x:c>
      <x:c r="C6" s="49" t="n">
        <x:v>12</x:v>
      </x:c>
      <x:c r="D6" s="64" t="n">
        <x:f>C6/B6</x:f>
        <x:v>0.6</x:v>
      </x:c>
      <x:c r="E6" s="49" t="str">
        <x:v>설계 완료</x:v>
      </x:c>
      <x:c r="F6" s="49" t="str">
        <x:v>1 SKU·FIFO·CoA·주문 후 OEM 흐름</x:v>
      </x:c>
      <x:c r="G6" s="49" t="str">
        <x:v>OEM 실사·견적·MOQ·리드타임·회수체계 미확정</x:v>
      </x:c>
      <x:c r="H6" s="49" t="str">
        <x:v>시험생산과 OEM QA 조건 확인</x:v>
      </x:c>
      <x:c r="I6" s="49" t="str">
        <x:v>SCM/QA</x:v>
      </x:c>
      <x:c r="J6" s="67" t="n">
        <x:v>46258</x:v>
      </x:c>
    </x:row>
    <x:row r="7" ht="24" hidden="0" customHeight="1">
      <x:c r="A7" s="49" t="str">
        <x:v>단위경제성</x:v>
      </x:c>
      <x:c r="B7" s="49" t="n">
        <x:v>20</x:v>
      </x:c>
      <x:c r="C7" s="49" t="n">
        <x:v>11</x:v>
      </x:c>
      <x:c r="D7" s="64" t="n">
        <x:f>C7/B7</x:f>
        <x:v>0.55</x:v>
      </x:c>
      <x:c r="E7" s="49" t="str">
        <x:v>가정 모델</x:v>
      </x:c>
      <x:c r="F7" s="49" t="str">
        <x:v>배양액 조성·가바크루드 생산수율과 매출액·매출원가·매출총이익 산식</x:v>
      </x:c>
      <x:c r="G7" s="49" t="str">
        <x:v>말토덱스트린·건조·검사·포장 견적 미입력</x:v>
      </x:c>
      <x:c r="H7" s="49" t="str">
        <x:v>실제 견적과 시험생산 수율로 최종 매출원가 확정</x:v>
      </x:c>
      <x:c r="I7" s="49" t="str">
        <x:v>Finance</x:v>
      </x:c>
      <x:c r="J7" s="67" t="n">
        <x:v>46258</x:v>
      </x:c>
    </x:row>
    <x:row r="8" ht="24" hidden="0" customHeight="1">
      <x:c r="A8" s="41" t="str">
        <x:v>상업검증</x:v>
      </x:c>
      <x:c r="B8" s="41" t="n">
        <x:v>20</x:v>
      </x:c>
      <x:c r="C8" s="41" t="n">
        <x:v>4</x:v>
      </x:c>
      <x:c r="D8" s="65" t="n">
        <x:f>C8/B8</x:f>
        <x:v>0.2</x:v>
      </x:c>
      <x:c r="E8" s="41" t="str">
        <x:v>미검증</x:v>
      </x:c>
      <x:c r="F8" s="41" t="str">
        <x:v>고객가치·반복주문 조건 정의</x:v>
      </x:c>
      <x:c r="G8" s="41" t="str">
        <x:v>축종별 유료 시험·매출·반복주문 자료 없음</x:v>
      </x:c>
      <x:c r="H8" s="41" t="str">
        <x:v>축종별 유료 시험 계약·발주서와 우선 시장 반복주문</x:v>
      </x:c>
      <x:c r="I8" s="41" t="str">
        <x:v>Sales</x:v>
      </x:c>
      <x:c r="J8" s="68" t="n">
        <x:v>46568</x:v>
      </x:c>
    </x:row>
    <x:row r="9"/>
    <x:row r="10" ht="26.399999618530273" hidden="0" customHeight="1">
      <x:c r="A10" s="71" t="str">
        <x:v>GABA READINESS INDEX</x:v>
      </x:c>
      <x:c r="B10" s="71" t="str">
        <x:v>GABA READINESS INDEX</x:v>
      </x:c>
      <x:c r="C10" s="74" t="n">
        <x:f>SUM(C4:C8)</x:f>
        <x:v>41</x:v>
      </x:c>
      <x:c r="D10" s="77" t="str">
        <x:f>IF(C10&lt;40,"EXPLORE",IF(C10&lt;60,"VALIDATE",IF(C10&lt;80,"PILOT",IF(C10&lt;90,"SCALE","READY"))))</x:f>
        <x:v>VALIDATE</x:v>
      </x:c>
      <x:c r="E10" s="71" t="str">
        <x:v>현재 해석: 구조는 설계됐지만 규제·제품용량·OEM 원가·유료 반복주문을 확인하기 전에는 투자·납품 준비 단계로 볼 수 없음</x:v>
      </x:c>
      <x:c r="F10" s="71" t="str">
        <x:v>현재 해석: 구조는 설계됐지만 규제·제품용량·OEM 원가·유료 반복주문을 확인하기 전에는 투자·납품 준비 단계로 볼 수 없음</x:v>
      </x:c>
      <x:c r="G10" s="71" t="str">
        <x:v>현재 해석: 구조는 설계됐지만 규제·제품용량·OEM 원가·유료 반복주문을 확인하기 전에는 투자·납품 준비 단계로 볼 수 없음</x:v>
      </x:c>
      <x:c r="H10" s="71" t="str">
        <x:v>현재 해석: 구조는 설계됐지만 규제·제품용량·OEM 원가·유료 반복주문을 확인하기 전에는 투자·납품 준비 단계로 볼 수 없음</x:v>
      </x:c>
      <x:c r="I10" s="71" t="str">
        <x:v>현재 해석: 구조는 설계됐지만 규제·제품용량·OEM 원가·유료 반복주문을 확인하기 전에는 투자·납품 준비 단계로 볼 수 없음</x:v>
      </x:c>
      <x:c r="J10" s="71" t="str">
        <x:v>현재 해석: 구조는 설계됐지만 규제·제품용량·OEM 원가·유료 반복주문을 확인하기 전에는 투자·납품 준비 단계로 볼 수 없음</x:v>
      </x:c>
    </x:row>
    <x:row r="11"/>
    <x:row r="12" ht="15" hidden="0" customHeight="1">
      <x:c r="A12" s="31" t="str">
        <x:v>점수구간</x:v>
      </x:c>
      <x:c r="B12" s="32" t="str">
        <x:v>0~39</x:v>
      </x:c>
      <x:c r="C12" s="32" t="str">
        <x:v>40~59</x:v>
      </x:c>
      <x:c r="D12" s="32" t="str">
        <x:v>60~79</x:v>
      </x:c>
      <x:c r="E12" s="32" t="str">
        <x:v>80~89</x:v>
      </x:c>
      <x:c r="F12" s="33" t="str">
        <x:v>90~100</x:v>
      </x:c>
      <x:c r="G12" t="str"/>
      <x:c r="H12" t="str"/>
      <x:c r="I12" t="str"/>
      <x:c r="J12" t="str"/>
    </x:row>
    <x:row r="13" ht="15" hidden="0" customHeight="1">
      <x:c r="A13" s="49" t="str">
        <x:v>단계</x:v>
      </x:c>
      <x:c r="B13" s="49" t="str">
        <x:v>EXPLORE</x:v>
      </x:c>
      <x:c r="C13" s="49" t="str">
        <x:v>VALIDATE</x:v>
      </x:c>
      <x:c r="D13" s="49" t="str">
        <x:v>PILOT</x:v>
      </x:c>
      <x:c r="E13" s="49" t="str">
        <x:v>SCALE</x:v>
      </x:c>
      <x:c r="F13" s="49" t="str">
        <x:v>READY</x:v>
      </x:c>
      <x:c r="G13" t="str"/>
      <x:c r="H13" t="str"/>
      <x:c r="I13" t="str"/>
      <x:c r="J13" t="str"/>
    </x:row>
    <x:row r="14" ht="24" hidden="0" customHeight="1">
      <x:c r="A14" s="49" t="str">
        <x:v>판단</x:v>
      </x:c>
      <x:c r="B14" s="49" t="str">
        <x:v>문제·가설</x:v>
      </x:c>
      <x:c r="C14" s="49" t="str">
        <x:v>근거·경로 확인</x:v>
      </x:c>
      <x:c r="D14" s="49" t="str">
        <x:v>고객·공장 실증</x:v>
      </x:c>
      <x:c r="E14" s="49" t="str">
        <x:v>반복 확대</x:v>
      </x:c>
      <x:c r="F14" s="49" t="str">
        <x:v>투자·계약 준비</x:v>
      </x:c>
      <x:c r="G14" t="str"/>
      <x:c r="H14" t="str"/>
      <x:c r="I14" t="str"/>
      <x:c r="J14" t="str"/>
    </x:row>
    <x:row r="15" ht="24" hidden="0" customHeight="1">
      <x:c r="A15" s="41" t="str">
        <x:v>최소 증빙</x:v>
      </x:c>
      <x:c r="B15" s="41" t="str">
        <x:v>가설문서</x:v>
      </x:c>
      <x:c r="C15" s="41" t="str">
        <x:v>분류·CoA·견적</x:v>
      </x:c>
      <x:c r="D15" s="41" t="str">
        <x:v>유료 PoV</x:v>
      </x:c>
      <x:c r="E15" s="41" t="str">
        <x:v>반복 PO</x:v>
      </x:c>
      <x:c r="F15" s="41" t="str">
        <x:v>감사 가능한 데이터룸</x:v>
      </x:c>
      <x:c r="G15" t="str"/>
      <x:c r="H15" t="str"/>
      <x:c r="I15" t="str"/>
      <x:c r="J15" t="str"/>
    </x:row>
    <x:row r="16"/>
    <x:row r="17" ht="15" hidden="0" customHeight="1">
      <x:c r="A17" s="80" t="str">
        <x:v>41점에서 100점까지 · 증빙이 확인될 때만 +59점 반영</x:v>
      </x:c>
      <x:c r="B17" s="80" t="str">
        <x:v>41점에서 100점까지 · 증빙이 확인될 때만 +59점 반영</x:v>
      </x:c>
      <x:c r="C17" s="80" t="str">
        <x:v>41점에서 100점까지 · 증빙이 확인될 때만 +59점 반영</x:v>
      </x:c>
      <x:c r="D17" s="80" t="str">
        <x:v>41점에서 100점까지 · 증빙이 확인될 때만 +59점 반영</x:v>
      </x:c>
      <x:c r="E17" s="80" t="str">
        <x:v>41점에서 100점까지 · 증빙이 확인될 때만 +59점 반영</x:v>
      </x:c>
      <x:c r="F17" s="80" t="str">
        <x:v>41점에서 100점까지 · 증빙이 확인될 때만 +59점 반영</x:v>
      </x:c>
      <x:c r="G17" s="80" t="str">
        <x:v>41점에서 100점까지 · 증빙이 확인될 때만 +59점 반영</x:v>
      </x:c>
      <x:c r="H17" s="80" t="str">
        <x:v>41점에서 100점까지 · 증빙이 확인될 때만 +59점 반영</x:v>
      </x:c>
      <x:c r="I17" s="80" t="str">
        <x:v>41점에서 100점까지 · 증빙이 확인될 때만 +59점 반영</x:v>
      </x:c>
      <x:c r="J17" s="80" t="str">
        <x:v>41점에서 100점까지 · 증빙이 확인될 때만 +59점 반영</x:v>
      </x:c>
    </x:row>
    <x:row r="18" ht="15" hidden="0" customHeight="1">
      <x:c r="A18" s="31" t="str">
        <x:v>평가축</x:v>
      </x:c>
      <x:c r="B18" s="32" t="str">
        <x:v>현재</x:v>
      </x:c>
      <x:c r="C18" s="32" t="str">
        <x:v>목표</x:v>
      </x:c>
      <x:c r="D18" s="32" t="str">
        <x:v>추가점수</x:v>
      </x:c>
      <x:c r="E18" s="32" t="str">
        <x:v>100점 완료 증빙</x:v>
      </x:c>
      <x:c r="F18" s="32" t="str">
        <x:v>검토책임</x:v>
      </x:c>
      <x:c r="G18" s="32" t="str">
        <x:v>목표일</x:v>
      </x:c>
      <x:c r="H18" s="32" t="str">
        <x:v>증빙 파일·URL</x:v>
      </x:c>
      <x:c r="I18" s="32" t="str">
        <x:v>검토 결론</x:v>
      </x:c>
      <x:c r="J18" s="33" t="str">
        <x:v>상태</x:v>
      </x:c>
    </x:row>
    <x:row r="19" ht="48" hidden="0" customHeight="1">
      <x:c r="A19" s="40" t="str">
        <x:v>규제·품목분류</x:v>
      </x:c>
      <x:c r="B19" s="40" t="n">
        <x:v>6</x:v>
      </x:c>
      <x:c r="C19" s="40" t="n">
        <x:v>20</x:v>
      </x:c>
      <x:c r="D19" s="40" t="n">
        <x:v>14</x:v>
      </x:c>
      <x:c r="E19" s="40" t="str">
        <x:v>품목 분류·등록 경로·축종별 사용조건·표시 문구의 서면 확정</x:v>
      </x:c>
      <x:c r="F19" s="40" t="str">
        <x:v>Reg/QA</x:v>
      </x:c>
      <x:c r="G19" s="66" t="n">
        <x:v>46280</x:v>
      </x:c>
      <x:c r="H19" s="40" t="str"/>
      <x:c r="I19" s="40" t="str"/>
      <x:c r="J19" s="40" t="str">
        <x:v>증빙 대기</x:v>
      </x:c>
    </x:row>
    <x:row r="20" ht="60" hidden="0" customHeight="1">
      <x:c r="A20" s="49" t="str">
        <x:v>제품근거·유효용량</x:v>
      </x:c>
      <x:c r="B20" s="49" t="n">
        <x:v>8</x:v>
      </x:c>
      <x:c r="C20" s="49" t="n">
        <x:v>20</x:v>
      </x:c>
      <x:c r="D20" s="49" t="n">
        <x:v>12</x:v>
      </x:c>
      <x:c r="E20" s="49" t="str">
        <x:v>제품 규격·안정성·6개 축종군의 대조군 시험과 최종 성과 보고서</x:v>
      </x:c>
      <x:c r="F20" s="49" t="str">
        <x:v>R&amp;D</x:v>
      </x:c>
      <x:c r="G20" s="67" t="n">
        <x:v>46477</x:v>
      </x:c>
      <x:c r="H20" s="49" t="str"/>
      <x:c r="I20" s="49" t="str"/>
      <x:c r="J20" s="49" t="str">
        <x:v>증빙 대기</x:v>
      </x:c>
    </x:row>
    <x:row r="21" ht="72" hidden="0" customHeight="1">
      <x:c r="A21" s="49" t="str">
        <x:v>공급·QA</x:v>
      </x:c>
      <x:c r="B21" s="49" t="n">
        <x:v>12</x:v>
      </x:c>
      <x:c r="C21" s="49" t="n">
        <x:v>20</x:v>
      </x:c>
      <x:c r="D21" s="49" t="n">
        <x:v>8</x:v>
      </x:c>
      <x:c r="E21" s="49" t="str">
        <x:v>OEM 실사·품질협약·실제 CAPA·MOQ·납기·추적·회수 모의훈련</x:v>
      </x:c>
      <x:c r="F21" s="49" t="str">
        <x:v>SCM/QA</x:v>
      </x:c>
      <x:c r="G21" s="67" t="n">
        <x:v>46295</x:v>
      </x:c>
      <x:c r="H21" s="49" t="str"/>
      <x:c r="I21" s="49" t="str"/>
      <x:c r="J21" s="49" t="str">
        <x:v>증빙 대기</x:v>
      </x:c>
    </x:row>
    <x:row r="22" ht="60" hidden="0" customHeight="1">
      <x:c r="A22" s="49" t="str">
        <x:v>단위경제성</x:v>
      </x:c>
      <x:c r="B22" s="49" t="n">
        <x:v>11</x:v>
      </x:c>
      <x:c r="C22" s="49" t="n">
        <x:v>20</x:v>
      </x:c>
      <x:c r="D22" s="49" t="n">
        <x:v>9</x:v>
      </x:c>
      <x:c r="E22" s="49" t="str">
        <x:v>실제 견적·시험생산 수율·축종별 매출원가·매출총이익 산식</x:v>
      </x:c>
      <x:c r="F22" s="49" t="str">
        <x:v>Finance</x:v>
      </x:c>
      <x:c r="G22" s="67" t="n">
        <x:v>46326</x:v>
      </x:c>
      <x:c r="H22" s="49" t="str"/>
      <x:c r="I22" s="49" t="str"/>
      <x:c r="J22" s="49" t="str">
        <x:v>증빙 대기</x:v>
      </x:c>
    </x:row>
    <x:row r="23" ht="60" hidden="0" customHeight="1">
      <x:c r="A23" s="41" t="str">
        <x:v>상업검증</x:v>
      </x:c>
      <x:c r="B23" s="41" t="n">
        <x:v>4</x:v>
      </x:c>
      <x:c r="C23" s="41" t="n">
        <x:v>20</x:v>
      </x:c>
      <x:c r="D23" s="41" t="n">
        <x:v>16</x:v>
      </x:c>
      <x:c r="E23" s="41" t="str">
        <x:v>유료 시험·실제 매출·반복 발주와 중단 사례가 포함된 고객 증빙</x:v>
      </x:c>
      <x:c r="F23" s="41" t="str">
        <x:v>Sales</x:v>
      </x:c>
      <x:c r="G23" s="68" t="n">
        <x:v>46568</x:v>
      </x:c>
      <x:c r="H23" s="41" t="str"/>
      <x:c r="I23" s="41" t="str"/>
      <x:c r="J23" s="41" t="str">
        <x:v>증빙 대기</x:v>
      </x:c>
    </x:row>
    <x:row r="24" ht="15" hidden="0" customHeight="1">
      <x:c r="A24" s="82" t="str">
        <x:v>합계</x:v>
      </x:c>
      <x:c r="B24" s="82" t="n">
        <x:f>SUM(B19:B23)</x:f>
        <x:v>41</x:v>
      </x:c>
      <x:c r="C24" s="82" t="n">
        <x:f>SUM(C19:C23)</x:f>
        <x:v>100</x:v>
      </x:c>
      <x:c r="D24" s="82" t="n">
        <x:f>SUM(D19:D23)</x:f>
        <x:v>59</x:v>
      </x:c>
      <x:c r="E24" s="82" t="str">
        <x:v>현재 41점 · 추가 59점 · 목표 100점</x:v>
      </x:c>
      <x:c r="F24" s="82" t="str">
        <x:v>현재 41점 · 추가 59점 · 목표 100점</x:v>
      </x:c>
      <x:c r="G24" s="82" t="str">
        <x:v>현재 41점 · 추가 59점 · 목표 100점</x:v>
      </x:c>
      <x:c r="H24" s="82" t="str">
        <x:v>현재 41점 · 추가 59점 · 목표 100점</x:v>
      </x:c>
      <x:c r="I24" s="82" t="str">
        <x:v>현재 41점 · 추가 59점 · 목표 100점</x:v>
      </x:c>
      <x:c r="J24" s="82" t="str">
        <x:v>현재 41점 · 추가 59점 · 목표 100점</x:v>
      </x:c>
    </x:row>
  </x:sheetData>
  <x:mergeCells>
    <x:mergeCell ref="A1:J1"/>
    <x:mergeCell ref="A2:J2"/>
    <x:mergeCell ref="A10:B10"/>
    <x:mergeCell ref="E10:J10"/>
    <x:mergeCell ref="A17:J17"/>
    <x:mergeCell ref="E24:J24"/>
  </x:mergeCells>
  <x:dataValidations count="3">
    <x:dataValidation type="whole" operator="between" sqref="C4:C8">
      <x:formula1>0</x:formula1>
      <x:formula2>20</x:formula2>
    </x:dataValidation>
    <x:dataValidation type="list" sqref="E4:E8">
      <x:formula1>"미검증,검증 필요,부분 근거,가정 모델,설계 완료,검증 완료"</x:formula1>
    </x:dataValidation>
    <x:dataValidation type="list" sqref="J19:J23">
      <x:formula1>"증빙 대기,검토 중,검토 완료,반려"</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3" hidden="0" customWidth="1"/>
    <x:col min="2" max="2" width="14" hidden="0" customWidth="1"/>
    <x:col min="3" max="3" width="25" hidden="0" customWidth="1"/>
    <x:col min="4" max="4" width="36" hidden="0" customWidth="1"/>
    <x:col min="5" max="5" width="10" hidden="0" customWidth="1"/>
    <x:col min="6" max="6" width="12" hidden="0" customWidth="1"/>
    <x:col min="7" max="7" width="13" hidden="0" customWidth="1"/>
    <x:col min="8" max="8" width="35" hidden="0" customWidth="1"/>
    <x:col min="9" max="9" width="48" hidden="0" customWidth="1"/>
    <x:col min="10" max="10" width="32" hidden="0" customWidth="1"/>
  </x:cols>
  <x:sheetData>
    <x:row r="1" ht="24" hidden="0" customHeight="1">
      <x:c r="A1" s="3" t="str">
        <x:v>02 · SOURCE REGISTER</x:v>
      </x:c>
      <x:c r="B1" s="3" t="str">
        <x:v>02 · SOURCE REGISTER</x:v>
      </x:c>
      <x:c r="C1" s="3" t="str">
        <x:v>02 · SOURCE REGISTER</x:v>
      </x:c>
      <x:c r="D1" s="3" t="str">
        <x:v>02 · SOURCE REGISTER</x:v>
      </x:c>
      <x:c r="E1" s="3" t="str">
        <x:v>02 · SOURCE REGISTER</x:v>
      </x:c>
      <x:c r="F1" s="3" t="str">
        <x:v>02 · SOURCE REGISTER</x:v>
      </x:c>
      <x:c r="G1" s="3" t="str">
        <x:v>02 · SOURCE REGISTER</x:v>
      </x:c>
      <x:c r="H1" s="3" t="str">
        <x:v>02 · SOURCE REGISTER</x:v>
      </x:c>
      <x:c r="I1" s="3" t="str">
        <x:v>02 · SOURCE REGISTER</x:v>
      </x:c>
      <x:c r="J1" s="3" t="str">
        <x:v>02 · SOURCE REGISTER</x:v>
      </x:c>
    </x:row>
    <x:row r="2" ht="15" hidden="0" customHeight="1">
      <x:c r="A2" s="6" t="str">
        <x:v>정책·산업·제품근거·원가 신호를 판단과 다음 행동까지 한 줄로 관리</x:v>
      </x:c>
      <x:c r="B2" s="6" t="str">
        <x:v>정책·산업·제품근거·원가 신호를 판단과 다음 행동까지 한 줄로 관리</x:v>
      </x:c>
      <x:c r="C2" s="6" t="str">
        <x:v>정책·산업·제품근거·원가 신호를 판단과 다음 행동까지 한 줄로 관리</x:v>
      </x:c>
      <x:c r="D2" s="6" t="str">
        <x:v>정책·산업·제품근거·원가 신호를 판단과 다음 행동까지 한 줄로 관리</x:v>
      </x:c>
      <x:c r="E2" s="6" t="str">
        <x:v>정책·산업·제품근거·원가 신호를 판단과 다음 행동까지 한 줄로 관리</x:v>
      </x:c>
      <x:c r="F2" s="6" t="str">
        <x:v>정책·산업·제품근거·원가 신호를 판단과 다음 행동까지 한 줄로 관리</x:v>
      </x:c>
      <x:c r="G2" s="6" t="str">
        <x:v>정책·산업·제품근거·원가 신호를 판단과 다음 행동까지 한 줄로 관리</x:v>
      </x:c>
      <x:c r="H2" s="6" t="str">
        <x:v>정책·산업·제품근거·원가 신호를 판단과 다음 행동까지 한 줄로 관리</x:v>
      </x:c>
      <x:c r="I2" s="6" t="str">
        <x:v>정책·산업·제품근거·원가 신호를 판단과 다음 행동까지 한 줄로 관리</x:v>
      </x:c>
      <x:c r="J2" s="6" t="str">
        <x:v>정책·산업·제품근거·원가 신호를 판단과 다음 행동까지 한 줄로 관리</x:v>
      </x:c>
    </x:row>
    <x:row r="3" ht="15" hidden="0" customHeight="1">
      <x:c r="A3" s="31" t="str">
        <x:v>발행/기준일</x:v>
      </x:c>
      <x:c r="B3" s="32" t="str">
        <x:v>카테고리</x:v>
      </x:c>
      <x:c r="C3" s="32" t="str">
        <x:v>출처/신호</x:v>
      </x:c>
      <x:c r="D3" s="32" t="str">
        <x:v>한 줄 의미</x:v>
      </x:c>
      <x:c r="E3" s="32" t="str">
        <x:v>신뢰도</x:v>
      </x:c>
      <x:c r="F3" s="32" t="str">
        <x:v>상태</x:v>
      </x:c>
      <x:c r="G3" s="32" t="str">
        <x:v>다음 확인일</x:v>
      </x:c>
      <x:c r="H3" s="32" t="str">
        <x:v>결정·다음 행동</x:v>
      </x:c>
      <x:c r="I3" s="32" t="str">
        <x:v>URL/파일</x:v>
      </x:c>
      <x:c r="J3" s="33" t="str">
        <x:v>주의사항</x:v>
      </x:c>
    </x:row>
    <x:row r="4" ht="36" hidden="0" customHeight="1">
      <x:c r="A4" s="66" t="n">
        <x:v>46237</x:v>
      </x:c>
      <x:c r="B4" s="40" t="str">
        <x:v>내부 원가</x:v>
      </x:c>
      <x:c r="C4" s="40" t="str">
        <x:v>사용자 제공 배양액 조성·원가</x:v>
      </x:c>
      <x:c r="D4" s="40" t="str">
        <x:v>배양액 1톤은 GABA 200kg과 기타 고형분 100kg을 포함하며 말토덱스트린 700kg을 더해 GABA 20% 가바크루드 1,000kg을 생산</x:v>
      </x:c>
      <x:c r="E4" s="40" t="str">
        <x:v>높음</x:v>
      </x:c>
      <x:c r="F4" s="40" t="str">
        <x:v>산식 확인</x:v>
      </x:c>
      <x:c r="G4" s="66" t="n">
        <x:v>46244</x:v>
      </x:c>
      <x:c r="H4" s="40" t="str">
        <x:v>말토덱스트린·건조·검사·포장 견적을 입력해 최종 매출원가 확정</x:v>
      </x:c>
      <x:c r="I4" s="40" t="str">
        <x:v>사용자 제공 자료 · 2026-08-03</x:v>
      </x:c>
      <x:c r="J4" s="40" t="str">
        <x:v>배양액 밀도 1kg/L와 이론 수율 100%를 적용; 실제 공정 손실은 시험생산으로 확인</x:v>
      </x:c>
    </x:row>
    <x:row r="5" ht="24" hidden="0" customHeight="1">
      <x:c r="A5" s="67" t="n">
        <x:v>46237</x:v>
      </x:c>
      <x:c r="B5" s="49" t="str">
        <x:v>내부 모델</x:v>
      </x:c>
      <x:c r="C5" s="49" t="str">
        <x:v>원본 사업모델</x:v>
      </x:c>
      <x:c r="D5" s="49" t="str">
        <x:v>20% 마스터 1 SKU + 주문형 OEM 구조와 단위경제성 가정</x:v>
      </x:c>
      <x:c r="E5" s="49" t="str">
        <x:v>높음</x:v>
      </x:c>
      <x:c r="F5" s="49" t="str">
        <x:v>검증 필요</x:v>
      </x:c>
      <x:c r="G5" s="67" t="n">
        <x:v>46251</x:v>
      </x:c>
      <x:c r="H5" s="49" t="str">
        <x:v>원가·유효용량·OEM 견적의 근거문서 연결</x:v>
      </x:c>
      <x:c r="I5" s="49" t="str">
        <x:v>GABA_20_Master_Inventory_OEM_Make_to_Order_Business_Model_v5.pptx</x:v>
      </x:c>
      <x:c r="J5" s="49" t="str">
        <x:v>원본 가정은 실적이 아님</x:v>
      </x:c>
    </x:row>
    <x:row r="6" ht="24" hidden="0" customHeight="1">
      <x:c r="A6" s="67" t="n">
        <x:v>45383</x:v>
      </x:c>
      <x:c r="B6" s="49" t="str">
        <x:v>정책·규제</x:v>
      </x:c>
      <x:c r="C6" s="49" t="str">
        <x:v>사료 등의 기준 및 규격</x:v>
      </x:c>
      <x:c r="D6" s="49" t="str">
        <x:v>현행 품목·기준·표시·등록 검토의 출발점</x:v>
      </x:c>
      <x:c r="E6" s="49" t="str">
        <x:v>높음</x:v>
      </x:c>
      <x:c r="F6" s="49" t="str">
        <x:v>상시</x:v>
      </x:c>
      <x:c r="G6" s="67" t="n">
        <x:v>46266</x:v>
      </x:c>
      <x:c r="H6" s="49" t="str">
        <x:v>GABA 및 발효배양물의 법적 품목분류 사전검토</x:v>
      </x:c>
      <x:c r="I6" s="49" t="str">
        <x:v>https://www.law.go.kr/행정규칙/사료%20등의%20기준%20및%20규격</x:v>
      </x:c>
      <x:c r="J6" s="49" t="str">
        <x:v>GABA 명시 허용 여부는 별도 확인 필요</x:v>
      </x:c>
    </x:row>
    <x:row r="7" ht="24" hidden="0" customHeight="1">
      <x:c r="A7" s="67" t="n">
        <x:v>45250</x:v>
      </x:c>
      <x:c r="B7" s="49" t="str">
        <x:v>정책·규제</x:v>
      </x:c>
      <x:c r="C7" s="49" t="str">
        <x:v>사료공정심의위원회 운영규정</x:v>
      </x:c>
      <x:c r="D7" s="49" t="str">
        <x:v>신규·변경 물질은 제조방법, 안전성, 품질, 첨가수준 자료가 핵심</x:v>
      </x:c>
      <x:c r="E7" s="49" t="str">
        <x:v>높음</x:v>
      </x:c>
      <x:c r="F7" s="49" t="str">
        <x:v>상시</x:v>
      </x:c>
      <x:c r="G7" s="67" t="n">
        <x:v>46266</x:v>
      </x:c>
      <x:c r="H7" s="49" t="str">
        <x:v>심의 필요 여부와 제출자료 목록 확정</x:v>
      </x:c>
      <x:c r="I7" s="49" t="str">
        <x:v>https://www.law.go.kr/LSW/admRulInfoP.do?admRulSeq=2100000231582&amp;chrClsCd=010201</x:v>
      </x:c>
      <x:c r="J7" s="49" t="str">
        <x:v>법률 자문이 아닌 실행 체크리스트</x:v>
      </x:c>
    </x:row>
    <x:row r="8" ht="24" hidden="0" customHeight="1">
      <x:c r="A8" s="67" t="n">
        <x:v>46199</x:v>
      </x:c>
      <x:c r="B8" s="49" t="str">
        <x:v>정책·규제</x:v>
      </x:c>
      <x:c r="C8" s="49" t="str">
        <x:v>단미사료 기준·규격 변경등록 공고</x:v>
      </x:c>
      <x:c r="D8" s="49" t="str">
        <x:v>품목 기준은 추가·변경 등록될 수 있어 월별 모니터링 필요</x:v>
      </x:c>
      <x:c r="E8" s="49" t="str">
        <x:v>높음</x:v>
      </x:c>
      <x:c r="F8" s="49" t="str">
        <x:v>모니터링</x:v>
      </x:c>
      <x:c r="G8" s="67" t="n">
        <x:v>46260</x:v>
      </x:c>
      <x:c r="H8" s="49" t="str">
        <x:v>GABA 관련 신규 공고 여부 확인</x:v>
      </x:c>
      <x:c r="I8" s="49" t="str">
        <x:v>https://www.mafra.go.kr/bbs/home/791/578277/artclView.do</x:v>
      </x:c>
      <x:c r="J8" s="49" t="str">
        <x:v>공고 내용 자체가 GABA 승인 의미는 아님</x:v>
      </x:c>
    </x:row>
    <x:row r="9" ht="24" hidden="0" customHeight="1">
      <x:c r="A9" s="67" t="n">
        <x:v>46171</x:v>
      </x:c>
      <x:c r="B9" s="49" t="str">
        <x:v>정책·시장</x:v>
      </x:c>
      <x:c r="C9" s="49" t="str">
        <x:v>2026 저탄소 농업 프로그램(축산)</x:v>
      </x:c>
      <x:c r="D9" s="49" t="str">
        <x:v>저메탄·질소저감 사료 급여에 비용 지원; 인정 기준 충족 제품만 해당</x:v>
      </x:c>
      <x:c r="E9" s="49" t="str">
        <x:v>높음</x:v>
      </x:c>
      <x:c r="F9" s="49" t="str">
        <x:v>기회</x:v>
      </x:c>
      <x:c r="G9" s="67" t="n">
        <x:v>46296</x:v>
      </x:c>
      <x:c r="H9" s="49" t="str">
        <x:v>GABA 제품을 저탄소 사료로 홍보하지 않도록 주장 분리</x:v>
      </x:c>
      <x:c r="I9" s="49" t="str">
        <x:v>https://www.mafra.go.kr/bbs/home/791/597692/download.do</x:v>
      </x:c>
      <x:c r="J9" s="49" t="str">
        <x:v>GABA와 저메탄 효과는 별도 검증 사안</x:v>
      </x:c>
    </x:row>
    <x:row r="10" ht="24" hidden="0" customHeight="1">
      <x:c r="A10" s="67" t="n">
        <x:v>46097</x:v>
      </x:c>
      <x:c r="B10" s="49" t="str">
        <x:v>산업·품질</x:v>
      </x:c>
      <x:c r="C10" s="49" t="str">
        <x:v>사료 원료·배합사료 ASF 방역 강화</x:v>
      </x:c>
      <x:c r="D10" s="49" t="str">
        <x:v>원료 추적, 검사, 회수 체계가 OEM 선정의 핵심 평가항목으로 부상</x:v>
      </x:c>
      <x:c r="E10" s="49" t="str">
        <x:v>높음</x:v>
      </x:c>
      <x:c r="F10" s="49" t="str">
        <x:v>주의</x:v>
      </x:c>
      <x:c r="G10" s="67" t="n">
        <x:v>46281</x:v>
      </x:c>
      <x:c r="H10" s="49" t="str">
        <x:v>OEM 실사표에 원료 추적·회수·병원체 관리 추가</x:v>
      </x:c>
      <x:c r="I10" s="49" t="str">
        <x:v>https://www.mafra.go.kr/bbs/home/792/577302/artclView.do</x:v>
      </x:c>
      <x:c r="J10" s="49" t="str">
        <x:v>돼지혈액 원료 사례; GABA 원료와 직접 동일하지 않음</x:v>
      </x:c>
    </x:row>
    <x:row r="11" ht="24" hidden="0" customHeight="1">
      <x:c r="A11" s="67" t="n">
        <x:v>46205</x:v>
      </x:c>
      <x:c r="B11" s="49" t="str">
        <x:v>산업·원가</x:v>
      </x:c>
      <x:c r="C11" s="49" t="str">
        <x:v>KREI 국제곡물 2026년 7월호</x:v>
      </x:c>
      <x:c r="D11" s="49" t="str">
        <x:v>수입 곡물과 환율 신호는 고객의 첨가제 예산·가격민감도에 영향</x:v>
      </x:c>
      <x:c r="E11" s="49" t="str">
        <x:v>중간</x:v>
      </x:c>
      <x:c r="F11" s="49" t="str">
        <x:v>모니터링</x:v>
      </x:c>
      <x:c r="G11" s="67" t="n">
        <x:v>46244</x:v>
      </x:c>
      <x:c r="H11" s="49" t="str">
        <x:v>옥수수·대두박·환율 3개 신호 월별 업데이트</x:v>
      </x:c>
      <x:c r="I11" s="49" t="str">
        <x:v>https://agevent.krei.re.kr/main</x:v>
      </x:c>
      <x:c r="J11" s="49" t="str">
        <x:v>본 인덱스에는 가격 시계열 미연결</x:v>
      </x:c>
    </x:row>
    <x:row r="12" ht="24" hidden="0" customHeight="1">
      <x:c r="A12" s="67" t="n">
        <x:v>46037</x:v>
      </x:c>
      <x:c r="B12" s="49" t="str">
        <x:v>제품근거</x:v>
      </x:c>
      <x:c r="C12" s="49" t="str">
        <x:v>젖소 열스트레스 RP-GABA 연구</x:v>
      </x:c>
      <x:c r="D12" s="49" t="str">
        <x:v>18두·56일; 산유량 차이는 유의하지 않았고(p=0.083), 유지방·유당은 유의</x:v>
      </x:c>
      <x:c r="E12" s="49" t="str">
        <x:v>중간</x:v>
      </x:c>
      <x:c r="F12" s="49" t="str">
        <x:v>유망/제한</x:v>
      </x:c>
      <x:c r="G12" s="67" t="n">
        <x:v>46402</x:v>
      </x:c>
      <x:c r="H12" s="49" t="str">
        <x:v>자사 제형·용량으로 해당 제품의 PoV 설계</x:v>
      </x:c>
      <x:c r="I12" s="49" t="str">
        <x:v>https://www.mdpi.com/2076-2615/16/2/262</x:v>
      </x:c>
      <x:c r="J12" s="49" t="str">
        <x:v>반추위 보호 제형 연구이므로 일반 GABA와 동일시 금지</x:v>
      </x:c>
    </x:row>
    <x:row r="13" ht="24" hidden="0" customHeight="1">
      <x:c r="A13" s="67" t="n">
        <x:v>45699</x:v>
      </x:c>
      <x:c r="B13" s="49" t="str">
        <x:v>제품근거</x:v>
      </x:c>
      <x:c r="C13" s="49" t="str">
        <x:v>넙치 염분스트레스 GABA 연구</x:v>
      </x:c>
      <x:c r="D13" s="49" t="str">
        <x:v>8주 시험에서 성장·삼투조절 개선이 유의하지 않음</x:v>
      </x:c>
      <x:c r="E13" s="49" t="str">
        <x:v>중간</x:v>
      </x:c>
      <x:c r="F13" s="49" t="str">
        <x:v>혼합</x:v>
      </x:c>
      <x:c r="G13" s="67" t="n">
        <x:v>46429</x:v>
      </x:c>
      <x:c r="H13" s="49" t="str">
        <x:v>효과가 없는 축종·상황도 근거 맵에 유지</x:v>
      </x:c>
      <x:c r="I13" s="49" t="str">
        <x:v>https://www.e-kfas.org/Upload/files/kfas/4.%2058%281%29%2033-45.pdf</x:v>
      </x:c>
      <x:c r="J13" s="49" t="str">
        <x:v>부정·중립 결과를 제외하지 않음</x:v>
      </x:c>
    </x:row>
    <x:row r="14" ht="24" hidden="0" customHeight="1">
      <x:c r="A14" s="67" t="n">
        <x:v>45291</x:v>
      </x:c>
      <x:c r="B14" s="49" t="str">
        <x:v>제품근거</x:v>
      </x:c>
      <x:c r="C14" s="49" t="str">
        <x:v>비육 한우 GABA 연구</x:v>
      </x:c>
      <x:c r="D14" s="49" t="str">
        <x:v>21두; 초기 일당증체량은 증가했으나 도체지표는 통계적 유의성 없음</x:v>
      </x:c>
      <x:c r="E14" s="49" t="str">
        <x:v>중간</x:v>
      </x:c>
      <x:c r="F14" s="49" t="str">
        <x:v>유망/제한</x:v>
      </x:c>
      <x:c r="G14" s="67" t="n">
        <x:v>46387</x:v>
      </x:c>
      <x:c r="H14" s="49" t="str">
        <x:v>활성 GABA 함량·급여량을 원본 75g/t 가정과 대조</x:v>
      </x:c>
      <x:c r="I14" s="49" t="str">
        <x:v>https://www.kci.go.kr/kciportal/landing/article.kci?arti_id=ART003036784</x:v>
      </x:c>
      <x:c r="J14" s="49" t="str">
        <x:v>소표본·제품 제형 차이 주의</x:v>
      </x:c>
    </x:row>
    <x:row r="15" ht="36" hidden="0" customHeight="1">
      <x:c r="A15" s="67" t="n">
        <x:v>39563</x:v>
      </x:c>
      <x:c r="B15" s="49" t="str">
        <x:v>시험설계</x:v>
      </x:c>
      <x:c r="C15" s="49" t="str">
        <x:v>사료첨가제 장기 효능시험 최소기간</x:v>
      </x:c>
      <x:c r="D15" s="49" t="str">
        <x:v>비육우 168일, 젖소 84일, 이유자돈 42일, 비육돈 70일 이상, 육계 35일, 산란계 168일, 염소·면양 56일 이상을 사업계획 기준으로 적용</x:v>
      </x:c>
      <x:c r="E15" s="49" t="str">
        <x:v>높음</x:v>
      </x:c>
      <x:c r="F15" s="49" t="str">
        <x:v>기준 적용</x:v>
      </x:c>
      <x:c r="G15" s="67" t="n">
        <x:v>46602</x:v>
      </x:c>
      <x:c r="H15" s="49" t="str">
        <x:v>국내 시험기관이 적응기간·개체수·반복수·통계설계를 최종 승인</x:v>
      </x:c>
      <x:c r="I15" s="49" t="str">
        <x:v>https://eur-lex.europa.eu/eli/reg/2008/429/oj/eng</x:v>
      </x:c>
      <x:c r="J15" s="49" t="str">
        <x:v>EU 공식 최소 장기 효능시험 기준이며 국내 인허가를 대신하지 않음</x:v>
      </x:c>
    </x:row>
    <x:row r="16" ht="24" hidden="0" customHeight="1">
      <x:c r="A16" s="67" t="n">
        <x:v>42370</x:v>
      </x:c>
      <x:c r="B16" s="49" t="str">
        <x:v>시험설계</x:v>
      </x:c>
      <x:c r="C16" s="49" t="str">
        <x:v>국립축산과학원 이유자돈 6주 급여시험</x:v>
      </x:c>
      <x:c r="D16" s="49" t="str">
        <x:v>바실러스 배양액을 이유자돈에게 6주 급여해 생산성을 비교한 국내 연구기관 사례</x:v>
      </x:c>
      <x:c r="E16" s="49" t="str">
        <x:v>높음</x:v>
      </x:c>
      <x:c r="F16" s="49" t="str">
        <x:v>국내 사례</x:v>
      </x:c>
      <x:c r="G16" s="67" t="n">
        <x:v>46602</x:v>
      </x:c>
      <x:c r="H16" s="49" t="str">
        <x:v>가바케어믹스 이유자돈 시험의 시설·개체수·통계설계는 별도 확정</x:v>
      </x:c>
      <x:c r="I16" s="49" t="str">
        <x:v>https://www.nias.go.kr/front/contview3.do?cmCode=M170106113356833&amp;cntntsNo=202201&amp;mainCategoryCode=</x:v>
      </x:c>
      <x:c r="J16" s="49" t="str">
        <x:v>소재·목적이 달라 시험기간 참고에만 사용</x:v>
      </x:c>
    </x:row>
    <x:row r="17" ht="24" hidden="0" customHeight="1">
      <x:c r="A17" s="67" t="n">
        <x:v>43993</x:v>
      </x:c>
      <x:c r="B17" s="49" t="str">
        <x:v>시험설계</x:v>
      </x:c>
      <x:c r="C17" s="49" t="str">
        <x:v>국립축산과학원 육계 1~5(6)주령 시험</x:v>
      </x:c>
      <x:c r="D17" s="49" t="str">
        <x:v>육계의 부화 후 출하주기를 반영한 5~6주 현장 시험 사례</x:v>
      </x:c>
      <x:c r="E17" s="49" t="str">
        <x:v>높음</x:v>
      </x:c>
      <x:c r="F17" s="49" t="str">
        <x:v>국내 사례</x:v>
      </x:c>
      <x:c r="G17" s="67" t="n">
        <x:v>46602</x:v>
      </x:c>
      <x:c r="H17" s="49" t="str">
        <x:v>가바케어믹스 육계 35일 시험계획을 연구기관과 확정</x:v>
      </x:c>
      <x:c r="I17" s="49" t="str">
        <x:v>https://nias.go.kr/front/soboarddown.do?boardSeqNum=3668&amp;cmCode=M090814150850297&amp;fileSeqNum=2744</x:v>
      </x:c>
      <x:c r="J17" s="49" t="str">
        <x:v>체중 예측 연구이므로 효능 근거가 아니라 기간 참고</x:v>
      </x:c>
    </x:row>
    <x:row r="18" ht="24" hidden="0" customHeight="1">
      <x:c r="A18" s="68" t="n">
        <x:v>46082</x:v>
      </x:c>
      <x:c r="B18" s="41" t="str">
        <x:v>시험설계</x:v>
      </x:c>
      <x:c r="C18" s="41" t="str">
        <x:v>국립축산과학원 산란계 8주 생산성 조사</x:v>
      </x:c>
      <x:c r="D18" s="41" t="str">
        <x:v>산란율·난중·사료요구율을 8주간 조사한 국내 사료 급여시험 사례</x:v>
      </x:c>
      <x:c r="E18" s="41" t="str">
        <x:v>높음</x:v>
      </x:c>
      <x:c r="F18" s="41" t="str">
        <x:v>국내 사례</x:v>
      </x:c>
      <x:c r="G18" s="68" t="n">
        <x:v>46602</x:v>
      </x:c>
      <x:c r="H18" s="41" t="str">
        <x:v>사업 준비 단계의 조기 점검은 8주, 최종 장기 효능판정은 168일 기준으로 구분</x:v>
      </x:c>
      <x:c r="I18" s="41" t="str">
        <x:v>https://nias.go.kr/front/soboarddown.do?boardSeqNum=9095&amp;cmCode=M091023194037455&amp;fileSeqNum=5948</x:v>
      </x:c>
      <x:c r="J18" s="41" t="str">
        <x:v>국내 8주 사례와 공식 168일 장기 효능시험을 혼동하지 않음</x:v>
      </x:c>
    </x:row>
  </x:sheetData>
  <x:mergeCells>
    <x:mergeCell ref="A1:J1"/>
    <x:mergeCell ref="A2:J2"/>
  </x:mergeCells>
  <x:dataValidations count="2">
    <x:dataValidation type="list" sqref="E4:E18">
      <x:formula1>"높음,중간,낮음"</x:formula1>
    </x:dataValidation>
    <x:dataValidation type="list" sqref="F4:F18">
      <x:formula1>"상시,기회,주의,모니터링,유망/제한,혼합,검증 필요"</x:formula1>
    </x:dataValidation>
  </x:dataValidations>
  <x:pageMargins left="0.7" right="0.7" top="0.75" bottom="0.75" header="0.3" footer="0.3"/>
  <x:tableParts count="1">
    <x:tablePart xmlns:r="http://schemas.openxmlformats.org/officeDocument/2006/relationships" r:id="R1db5dad0be5946d9"/>
  </x:tableParts>
</x:worksheet>
</file>

<file path=xl/worksheets/sheet4.xml><?xml version="1.0" encoding="utf-8"?>
<x:worksheet xmlns:x="http://schemas.openxmlformats.org/spreadsheetml/2006/main">
  <x:sheetViews>
    <x:sheetView showGridLines="0" workbookViewId="0"/>
  </x:sheetViews>
  <x:sheetFormatPr defaultRowHeight="15"/>
  <x:cols>
    <x:col min="1" max="1" width="35" hidden="0" customWidth="1"/>
    <x:col min="2" max="2" width="15" hidden="0" customWidth="1"/>
    <x:col min="3" max="3" width="14" hidden="0" customWidth="1"/>
    <x:col min="4" max="4" width="34" hidden="0" customWidth="1"/>
    <x:col min="5" max="5" width="18" hidden="0" customWidth="1"/>
    <x:col min="6" max="6" width="42" hidden="0" customWidth="1"/>
  </x:cols>
  <x:sheetData>
    <x:row r="1" ht="24" hidden="0" customHeight="1">
      <x:c r="A1" s="3" t="str">
        <x:v>03 · 매출·원가·이익</x:v>
      </x:c>
      <x:c r="B1" s="3" t="str">
        <x:v>03 · 매출·원가·이익</x:v>
      </x:c>
      <x:c r="C1" s="3" t="str">
        <x:v>03 · 매출·원가·이익</x:v>
      </x:c>
      <x:c r="D1" s="3" t="str">
        <x:v>03 · 매출·원가·이익</x:v>
      </x:c>
      <x:c r="E1" s="3" t="str">
        <x:v>03 · 매출·원가·이익</x:v>
      </x:c>
      <x:c r="F1" s="3" t="str">
        <x:v>03 · 매출·원가·이익</x:v>
      </x:c>
    </x:row>
    <x:row r="2" ht="15" hidden="0" customHeight="1">
      <x:c r="A2" s="6" t="str">
        <x:v>주황색=입력값 · 초록색=계산값 · 배양액 1톤 기준 생산수율과 매출원가를 한 흐름으로 확인</x:v>
      </x:c>
      <x:c r="B2" s="6" t="str">
        <x:v>주황색=입력값 · 초록색=계산값 · 배양액 1톤 기준 생산수율과 매출원가를 한 흐름으로 확인</x:v>
      </x:c>
      <x:c r="C2" s="6" t="str">
        <x:v>주황색=입력값 · 초록색=계산값 · 배양액 1톤 기준 생산수율과 매출원가를 한 흐름으로 확인</x:v>
      </x:c>
      <x:c r="D2" s="6" t="str">
        <x:v>주황색=입력값 · 초록색=계산값 · 배양액 1톤 기준 생산수율과 매출원가를 한 흐름으로 확인</x:v>
      </x:c>
      <x:c r="E2" s="6" t="str">
        <x:v>주황색=입력값 · 초록색=계산값 · 배양액 1톤 기준 생산수율과 매출원가를 한 흐름으로 확인</x:v>
      </x:c>
      <x:c r="F2" s="6" t="str">
        <x:v>주황색=입력값 · 초록색=계산값 · 배양액 1톤 기준 생산수율과 매출원가를 한 흐름으로 확인</x:v>
      </x:c>
    </x:row>
    <x:row r="3" ht="15" hidden="0" customHeight="1">
      <x:c r="A3" s="31" t="str">
        <x:v>항목</x:v>
      </x:c>
      <x:c r="B3" s="32" t="str">
        <x:v>값</x:v>
      </x:c>
      <x:c r="C3" s="32" t="str">
        <x:v>단위</x:v>
      </x:c>
      <x:c r="D3" s="32" t="str">
        <x:v>산식/정의</x:v>
      </x:c>
      <x:c r="E3" s="32" t="str">
        <x:v>증빙 상태</x:v>
      </x:c>
      <x:c r="F3" s="33" t="str">
        <x:v>출처/메모</x:v>
      </x:c>
    </x:row>
    <x:row r="4" ht="15" hidden="0" customHeight="1">
      <x:c r="A4" s="84" t="str">
        <x:v>배양액 원가·조성</x:v>
      </x:c>
      <x:c r="B4" s="84"/>
      <x:c r="C4" s="84" t="str"/>
      <x:c r="D4" s="84" t="str"/>
      <x:c r="E4" s="84" t="str"/>
      <x:c r="F4" s="84" t="str"/>
    </x:row>
    <x:row r="5" ht="15" hidden="0" customHeight="1">
      <x:c r="A5" s="49" t="str">
        <x:v>배양액 투입량</x:v>
      </x:c>
      <x:c r="B5" s="93" t="n">
        <x:v>1000</x:v>
      </x:c>
      <x:c r="C5" s="49" t="str">
        <x:v>L/배치</x:v>
      </x:c>
      <x:c r="D5" s="49" t="str">
        <x:v>입력</x:v>
      </x:c>
      <x:c r="E5" s="49" t="str">
        <x:v>사용자 제공</x:v>
      </x:c>
      <x:c r="F5" s="49" t="str">
        <x:v>배양액 1톤=1,000L</x:v>
      </x:c>
    </x:row>
    <x:row r="6" ht="15" hidden="0" customHeight="1">
      <x:c r="A6" s="49" t="str">
        <x:v>배양액 밀도</x:v>
      </x:c>
      <x:c r="B6" s="94" t="n">
        <x:v>1</x:v>
      </x:c>
      <x:c r="C6" s="49" t="str">
        <x:v>kg/L</x:v>
      </x:c>
      <x:c r="D6" s="49" t="str">
        <x:v>입력</x:v>
      </x:c>
      <x:c r="E6" s="49" t="str">
        <x:v>공정 가정</x:v>
      </x:c>
      <x:c r="F6" s="49" t="str">
        <x:v>실제 밀도 확인 필요</x:v>
      </x:c>
    </x:row>
    <x:row r="7" ht="15" hidden="0" customHeight="1">
      <x:c r="A7" s="49" t="str">
        <x:v>배양액 총질량</x:v>
      </x:c>
      <x:c r="B7" s="96" t="n">
        <x:f>B5*B6</x:f>
        <x:v>1000</x:v>
      </x:c>
      <x:c r="C7" s="49" t="str">
        <x:v>kg/배치</x:v>
      </x:c>
      <x:c r="D7" s="49" t="str">
        <x:v>투입량×밀도</x:v>
      </x:c>
      <x:c r="E7" s="49" t="str">
        <x:v>계산</x:v>
      </x:c>
      <x:c r="F7" s="49" t="str"/>
    </x:row>
    <x:row r="8" ht="15" hidden="0" customHeight="1">
      <x:c r="A8" s="49" t="str">
        <x:v>배양액 단가</x:v>
      </x:c>
      <x:c r="B8" s="93" t="n">
        <x:v>4000</x:v>
      </x:c>
      <x:c r="C8" s="49" t="str">
        <x:v>원/L</x:v>
      </x:c>
      <x:c r="D8" s="49" t="str">
        <x:v>입력</x:v>
      </x:c>
      <x:c r="E8" s="49" t="str">
        <x:v>사용자 제공</x:v>
      </x:c>
      <x:c r="F8" s="49" t="str">
        <x:v>톤당 400만원</x:v>
      </x:c>
    </x:row>
    <x:row r="9" ht="15" hidden="0" customHeight="1">
      <x:c r="A9" s="49" t="str">
        <x:v>배양액 구입원가</x:v>
      </x:c>
      <x:c r="B9" s="96" t="n">
        <x:f>B5*B8</x:f>
        <x:v>4000000</x:v>
      </x:c>
      <x:c r="C9" s="49" t="str">
        <x:v>원/배치</x:v>
      </x:c>
      <x:c r="D9" s="49" t="str">
        <x:v>투입량×단가</x:v>
      </x:c>
      <x:c r="E9" s="49" t="str">
        <x:v>계산</x:v>
      </x:c>
      <x:c r="F9" s="49" t="str"/>
    </x:row>
    <x:row r="10" ht="15" hidden="0" customHeight="1">
      <x:c r="A10" s="49" t="str">
        <x:v>고형분 함량</x:v>
      </x:c>
      <x:c r="B10" s="95" t="n">
        <x:v>0.3</x:v>
      </x:c>
      <x:c r="C10" s="49" t="str">
        <x:v>%</x:v>
      </x:c>
      <x:c r="D10" s="49" t="str">
        <x:v>입력</x:v>
      </x:c>
      <x:c r="E10" s="49" t="str">
        <x:v>사용자 제공</x:v>
      </x:c>
      <x:c r="F10" s="49" t="str">
        <x:v>배양액 1톤당 300kg</x:v>
      </x:c>
    </x:row>
    <x:row r="11" ht="15" hidden="0" customHeight="1">
      <x:c r="A11" s="49" t="str">
        <x:v>고형분 총량</x:v>
      </x:c>
      <x:c r="B11" s="96" t="n">
        <x:f>B7*B10</x:f>
        <x:v>300</x:v>
      </x:c>
      <x:c r="C11" s="49" t="str">
        <x:v>kg/배치</x:v>
      </x:c>
      <x:c r="D11" s="49" t="str">
        <x:v>총질량×고형분 함량</x:v>
      </x:c>
      <x:c r="E11" s="49" t="str">
        <x:v>계산</x:v>
      </x:c>
      <x:c r="F11" s="49" t="str"/>
    </x:row>
    <x:row r="12" ht="15" hidden="0" customHeight="1">
      <x:c r="A12" s="49" t="str">
        <x:v>GABA 함량</x:v>
      </x:c>
      <x:c r="B12" s="97" t="n">
        <x:v>0.2</x:v>
      </x:c>
      <x:c r="C12" s="49" t="str">
        <x:v>%</x:v>
      </x:c>
      <x:c r="D12" s="49" t="str">
        <x:v>입력</x:v>
      </x:c>
      <x:c r="E12" s="49" t="str">
        <x:v>사용자 제공</x:v>
      </x:c>
      <x:c r="F12" s="49" t="str">
        <x:v>배양액 기준</x:v>
      </x:c>
    </x:row>
    <x:row r="13" ht="15" hidden="0" customHeight="1">
      <x:c r="A13" s="49" t="str">
        <x:v>GABA 총량</x:v>
      </x:c>
      <x:c r="B13" s="96" t="n">
        <x:f>B7*B12</x:f>
        <x:v>200</x:v>
      </x:c>
      <x:c r="C13" s="49" t="str">
        <x:v>kg/배치</x:v>
      </x:c>
      <x:c r="D13" s="49" t="str">
        <x:v>총질량×GABA 함량</x:v>
      </x:c>
      <x:c r="E13" s="49" t="str">
        <x:v>계산</x:v>
      </x:c>
      <x:c r="F13" s="49" t="str"/>
    </x:row>
    <x:row r="14" ht="15" hidden="0" customHeight="1">
      <x:c r="A14" s="49" t="str">
        <x:v>기타 고형분 총량</x:v>
      </x:c>
      <x:c r="B14" s="96" t="n">
        <x:f>B11-B13</x:f>
        <x:v>100</x:v>
      </x:c>
      <x:c r="C14" s="49" t="str">
        <x:v>kg/배치</x:v>
      </x:c>
      <x:c r="D14" s="49" t="str">
        <x:v>고형분-GABA</x:v>
      </x:c>
      <x:c r="E14" s="49" t="str">
        <x:v>계산</x:v>
      </x:c>
      <x:c r="F14" s="49" t="str"/>
    </x:row>
    <x:row r="15" ht="15" hidden="0" customHeight="1">
      <x:c r="A15" s="49" t="str">
        <x:v>GABA:기타 고형분</x:v>
      </x:c>
      <x:c r="B15" s="98" t="n">
        <x:f>B13/B14</x:f>
        <x:v>2</x:v>
      </x:c>
      <x:c r="C15" s="49" t="str">
        <x:v>배</x:v>
      </x:c>
      <x:c r="D15" s="49" t="str">
        <x:v>GABA÷기타 고형분</x:v>
      </x:c>
      <x:c r="E15" s="49" t="str">
        <x:v>계산</x:v>
      </x:c>
      <x:c r="F15" s="49" t="str">
        <x:v>2:1 구성 확인</x:v>
      </x:c>
    </x:row>
    <x:row r="16" ht="15" hidden="0" customHeight="1">
      <x:c r="A16" s="49" t="str"/>
      <x:c r="B16" s="87"/>
      <x:c r="C16" s="49" t="str"/>
      <x:c r="D16" s="49" t="str"/>
      <x:c r="E16" s="49" t="str"/>
      <x:c r="F16" s="49" t="str"/>
    </x:row>
    <x:row r="17" ht="15" hidden="0" customHeight="1">
      <x:c r="A17" s="86" t="str">
        <x:v>가바크루드 생산수율</x:v>
      </x:c>
      <x:c r="B17" s="88"/>
      <x:c r="C17" s="86" t="str"/>
      <x:c r="D17" s="86" t="str"/>
      <x:c r="E17" s="86" t="str"/>
      <x:c r="F17" s="86" t="str"/>
    </x:row>
    <x:row r="18" ht="15" hidden="0" customHeight="1">
      <x:c r="A18" s="49" t="str">
        <x:v>가바크루드 목표 GABA 함량</x:v>
      </x:c>
      <x:c r="B18" s="95" t="n">
        <x:v>0.2</x:v>
      </x:c>
      <x:c r="C18" s="49" t="str">
        <x:v>%</x:v>
      </x:c>
      <x:c r="D18" s="49" t="str">
        <x:v>입력</x:v>
      </x:c>
      <x:c r="E18" s="49" t="str">
        <x:v>사용자 제공</x:v>
      </x:c>
      <x:c r="F18" s="49" t="str">
        <x:v>GABA 20% 기준품</x:v>
      </x:c>
    </x:row>
    <x:row r="19" ht="15" hidden="0" customHeight="1">
      <x:c r="A19" s="49" t="str">
        <x:v>가바크루드 총생산량</x:v>
      </x:c>
      <x:c r="B19" s="96" t="n">
        <x:f>B13/B18</x:f>
        <x:v>1000</x:v>
      </x:c>
      <x:c r="C19" s="49" t="str">
        <x:v>kg/배치</x:v>
      </x:c>
      <x:c r="D19" s="49" t="str">
        <x:v>GABA 총량÷목표 함량</x:v>
      </x:c>
      <x:c r="E19" s="49" t="str">
        <x:v>계산</x:v>
      </x:c>
      <x:c r="F19" s="49" t="str">
        <x:v>이론 수율 기준</x:v>
      </x:c>
    </x:row>
    <x:row r="20" ht="15" hidden="0" customHeight="1">
      <x:c r="A20" s="49" t="str">
        <x:v>필요 말토덱스트린</x:v>
      </x:c>
      <x:c r="B20" s="96" t="n">
        <x:f>B19-B11</x:f>
        <x:v>700</x:v>
      </x:c>
      <x:c r="C20" s="49" t="str">
        <x:v>kg/배치</x:v>
      </x:c>
      <x:c r="D20" s="49" t="str">
        <x:v>총생산량-배양액 고형분</x:v>
      </x:c>
      <x:c r="E20" s="49" t="str">
        <x:v>계산</x:v>
      </x:c>
      <x:c r="F20" s="49" t="str">
        <x:v>고형분 기준 혼합량</x:v>
      </x:c>
    </x:row>
    <x:row r="21" ht="15" hidden="0" customHeight="1">
      <x:c r="A21" s="49" t="str">
        <x:v>제거할 수분</x:v>
      </x:c>
      <x:c r="B21" s="96" t="n">
        <x:f>B7-B11</x:f>
        <x:v>700</x:v>
      </x:c>
      <x:c r="C21" s="49" t="str">
        <x:v>kg/배치</x:v>
      </x:c>
      <x:c r="D21" s="49" t="str">
        <x:v>배양액 총질량-고형분</x:v>
      </x:c>
      <x:c r="E21" s="49" t="str">
        <x:v>계산</x:v>
      </x:c>
      <x:c r="F21" s="49" t="str">
        <x:v>건조 공정에서 제거</x:v>
      </x:c>
    </x:row>
    <x:row r="22" ht="15" hidden="0" customHeight="1">
      <x:c r="A22" s="49" t="str">
        <x:v>질량수지 차이</x:v>
      </x:c>
      <x:c r="B22" s="96" t="n">
        <x:f>B11+B20-B19</x:f>
        <x:v>0</x:v>
      </x:c>
      <x:c r="C22" s="49" t="str">
        <x:v>kg/배치</x:v>
      </x:c>
      <x:c r="D22" s="49" t="str">
        <x:v>고형분+말토덱스트린-총생산량</x:v>
      </x:c>
      <x:c r="E22" s="49" t="str">
        <x:v>자동점검</x:v>
      </x:c>
      <x:c r="F22" s="49" t="str">
        <x:v>0이어야 함</x:v>
      </x:c>
    </x:row>
    <x:row r="23" ht="15" hidden="0" customHeight="1">
      <x:c r="A23" s="49" t="str">
        <x:v>GABA 함량 차이</x:v>
      </x:c>
      <x:c r="B23" s="96" t="n">
        <x:f>B19*B18-B13</x:f>
        <x:v>0</x:v>
      </x:c>
      <x:c r="C23" s="49" t="str">
        <x:v>kg/배치</x:v>
      </x:c>
      <x:c r="D23" s="49" t="str">
        <x:v>총생산량×20%-GABA 총량</x:v>
      </x:c>
      <x:c r="E23" s="49" t="str">
        <x:v>자동점검</x:v>
      </x:c>
      <x:c r="F23" s="49" t="str">
        <x:v>0이어야 함</x:v>
      </x:c>
    </x:row>
    <x:row r="24" ht="15" hidden="0" customHeight="1">
      <x:c r="A24" s="49" t="str"/>
      <x:c r="B24" s="87"/>
      <x:c r="C24" s="49" t="str"/>
      <x:c r="D24" s="49" t="str"/>
      <x:c r="E24" s="49" t="str"/>
      <x:c r="F24" s="49" t="str"/>
    </x:row>
    <x:row r="25" ht="15" hidden="0" customHeight="1">
      <x:c r="A25" s="86" t="str">
        <x:v>가바크루드 매출·원가·매출총이익</x:v>
      </x:c>
      <x:c r="B25" s="88"/>
      <x:c r="C25" s="86" t="str"/>
      <x:c r="D25" s="86" t="str"/>
      <x:c r="E25" s="86" t="str"/>
      <x:c r="F25" s="86" t="str"/>
    </x:row>
    <x:row r="26" ht="15" hidden="0" customHeight="1">
      <x:c r="A26" s="49" t="str">
        <x:v>가바크루드 판매가격</x:v>
      </x:c>
      <x:c r="B26" s="93" t="n">
        <x:v>18000</x:v>
      </x:c>
      <x:c r="C26" s="49" t="str">
        <x:v>원/kg</x:v>
      </x:c>
      <x:c r="D26" s="49" t="str">
        <x:v>입력</x:v>
      </x:c>
      <x:c r="E26" s="49" t="str">
        <x:v>검증 필요</x:v>
      </x:c>
      <x:c r="F26" s="49" t="str">
        <x:v>고객 견적과 가격 수용성 확인</x:v>
      </x:c>
    </x:row>
    <x:row r="27" ht="15" hidden="0" customHeight="1">
      <x:c r="A27" s="49" t="str">
        <x:v>확인된 원가 하한</x:v>
      </x:c>
      <x:c r="B27" s="96" t="n">
        <x:f>B9/B19</x:f>
        <x:v>4000</x:v>
      </x:c>
      <x:c r="C27" s="49" t="str">
        <x:v>원/kg</x:v>
      </x:c>
      <x:c r="D27" s="49" t="str">
        <x:v>배양액 구입원가÷가바크루드 총생산량</x:v>
      </x:c>
      <x:c r="E27" s="49" t="str">
        <x:v>계산</x:v>
      </x:c>
      <x:c r="F27" s="49" t="str">
        <x:v>말토덱스트린·건조·검사·포장비 제외</x:v>
      </x:c>
    </x:row>
    <x:row r="28" ht="15" hidden="0" customHeight="1">
      <x:c r="A28" s="49" t="str">
        <x:v>말토덱스트린 단가</x:v>
      </x:c>
      <x:c r="B28" s="93"/>
      <x:c r="C28" s="49" t="str">
        <x:v>원/kg</x:v>
      </x:c>
      <x:c r="D28" s="49" t="str">
        <x:v>입력</x:v>
      </x:c>
      <x:c r="E28" s="49" t="str">
        <x:v>견적 필요</x:v>
      </x:c>
      <x:c r="F28" s="49" t="str">
        <x:v>실제 공급 견적 입력</x:v>
      </x:c>
    </x:row>
    <x:row r="29" ht="15" hidden="0" customHeight="1">
      <x:c r="A29" s="49" t="str">
        <x:v>말토덱스트린 원가</x:v>
      </x:c>
      <x:c r="B29" s="96" t="str">
        <x:f>IF(B28="","",B20*B28)</x:f>
      </x:c>
      <x:c r="C29" s="49" t="str">
        <x:v>원/배치</x:v>
      </x:c>
      <x:c r="D29" s="49" t="str">
        <x:v>필요량×단가</x:v>
      </x:c>
      <x:c r="E29" s="49" t="str">
        <x:v>계산</x:v>
      </x:c>
      <x:c r="F29" s="49" t="str"/>
    </x:row>
    <x:row r="30" ht="15" hidden="0" customHeight="1">
      <x:c r="A30" s="49" t="str">
        <x:v>건조·검사·포장 원가</x:v>
      </x:c>
      <x:c r="B30" s="93"/>
      <x:c r="C30" s="49" t="str">
        <x:v>원/배치</x:v>
      </x:c>
      <x:c r="D30" s="49" t="str">
        <x:v>입력</x:v>
      </x:c>
      <x:c r="E30" s="49" t="str">
        <x:v>견적 필요</x:v>
      </x:c>
      <x:c r="F30" s="49" t="str">
        <x:v>건조·검사·포장·수율손실 포함</x:v>
      </x:c>
    </x:row>
    <x:row r="31" ht="15" hidden="0" customHeight="1">
      <x:c r="A31" s="49" t="str">
        <x:v>가바크루드 매출원가</x:v>
      </x:c>
      <x:c r="B31" s="96" t="str">
        <x:f>IF(OR(B28="",B30=""),"",B9+B29+B30)</x:f>
      </x:c>
      <x:c r="C31" s="49" t="str">
        <x:v>원/배치</x:v>
      </x:c>
      <x:c r="D31" s="49" t="str">
        <x:v>배양액+말토덱스트린+건조·검사·포장</x:v>
      </x:c>
      <x:c r="E31" s="49" t="str">
        <x:v>계산 대기</x:v>
      </x:c>
      <x:c r="F31" s="49" t="str">
        <x:v>두 견적 입력 후 계산</x:v>
      </x:c>
    </x:row>
    <x:row r="32" ht="15" hidden="0" customHeight="1">
      <x:c r="A32" s="49" t="str">
        <x:v>가바크루드 매출원가</x:v>
      </x:c>
      <x:c r="B32" s="96" t="str">
        <x:f>IF(B31="","",B31/B19)</x:f>
      </x:c>
      <x:c r="C32" s="49" t="str">
        <x:v>원/kg</x:v>
      </x:c>
      <x:c r="D32" s="49" t="str">
        <x:v>배치 매출원가÷총생산량</x:v>
      </x:c>
      <x:c r="E32" s="49" t="str">
        <x:v>계산 대기</x:v>
      </x:c>
      <x:c r="F32" s="49" t="str"/>
    </x:row>
    <x:row r="33" ht="15" hidden="0" customHeight="1">
      <x:c r="A33" s="49" t="str">
        <x:v>가바크루드 매출총이익</x:v>
      </x:c>
      <x:c r="B33" s="96" t="str">
        <x:f>IF(B32="","",B26-B32)</x:f>
      </x:c>
      <x:c r="C33" s="49" t="str">
        <x:v>원/kg</x:v>
      </x:c>
      <x:c r="D33" s="49" t="str">
        <x:v>판매가격-매출원가</x:v>
      </x:c>
      <x:c r="E33" s="49" t="str">
        <x:v>계산 대기</x:v>
      </x:c>
      <x:c r="F33" s="49" t="str">
        <x:v>판매관리비·고정비 차감 전</x:v>
      </x:c>
    </x:row>
    <x:row r="34" ht="15" hidden="0" customHeight="1">
      <x:c r="A34" s="49" t="str">
        <x:v>가바크루드 매출총이익률</x:v>
      </x:c>
      <x:c r="B34" s="97" t="str">
        <x:f>IF(B33="","",B33/B26)</x:f>
      </x:c>
      <x:c r="C34" s="49" t="str">
        <x:v>%</x:v>
      </x:c>
      <x:c r="D34" s="49" t="str">
        <x:v>매출총이익÷판매가격</x:v>
      </x:c>
      <x:c r="E34" s="49" t="str">
        <x:v>계산 대기</x:v>
      </x:c>
      <x:c r="F34" s="49" t="str"/>
    </x:row>
    <x:row r="35" ht="15" hidden="0" customHeight="1">
      <x:c r="A35" s="49" t="str">
        <x:v>배양액 원가만 반영한 매출총이익 상한</x:v>
      </x:c>
      <x:c r="B35" s="96" t="n">
        <x:f>B26-B27</x:f>
        <x:v>14000</x:v>
      </x:c>
      <x:c r="C35" s="49" t="str">
        <x:v>원/kg</x:v>
      </x:c>
      <x:c r="D35" s="49" t="str">
        <x:v>판매가격-확인된 원가 하한</x:v>
      </x:c>
      <x:c r="E35" s="49" t="str">
        <x:v>참고 계산</x:v>
      </x:c>
      <x:c r="F35" s="49" t="str">
        <x:v>추가 원가 반영 시 감소</x:v>
      </x:c>
    </x:row>
    <x:row r="36" ht="15" hidden="0" customHeight="1">
      <x:c r="A36" s="49" t="str"/>
      <x:c r="B36" s="87"/>
      <x:c r="C36" s="49" t="str"/>
      <x:c r="D36" s="49" t="str"/>
      <x:c r="E36" s="49" t="str"/>
      <x:c r="F36" s="49" t="str"/>
    </x:row>
    <x:row r="37" ht="15" hidden="0" customHeight="1">
      <x:c r="A37" s="86" t="str">
        <x:v>가바케어믹스 매출·원가·매출총이익</x:v>
      </x:c>
      <x:c r="B37" s="88"/>
      <x:c r="C37" s="86" t="str"/>
      <x:c r="D37" s="86" t="str"/>
      <x:c r="E37" s="86" t="str"/>
      <x:c r="F37" s="86" t="str"/>
    </x:row>
    <x:row r="38" ht="15" hidden="0" customHeight="1">
      <x:c r="A38" s="49" t="str">
        <x:v>가바케어믹스 매출액</x:v>
      </x:c>
      <x:c r="B38" s="93" t="n">
        <x:v>6000</x:v>
      </x:c>
      <x:c r="C38" s="49" t="str">
        <x:v>원/사료t</x:v>
      </x:c>
      <x:c r="D38" s="49" t="str">
        <x:v>입력</x:v>
      </x:c>
      <x:c r="E38" s="49" t="str">
        <x:v>검증 필요</x:v>
      </x:c>
      <x:c r="F38" s="49" t="str">
        <x:v>기존 프로그램 가격 가정</x:v>
      </x:c>
    </x:row>
    <x:row r="39" ht="15" hidden="0" customHeight="1">
      <x:c r="A39" s="49" t="str">
        <x:v>가바케어믹스 투입량</x:v>
      </x:c>
      <x:c r="B39" s="94" t="n">
        <x:v>0.075</x:v>
      </x:c>
      <x:c r="C39" s="49" t="str">
        <x:v>kg/사료t</x:v>
      </x:c>
      <x:c r="D39" s="49" t="str">
        <x:v>입력</x:v>
      </x:c>
      <x:c r="E39" s="49" t="str">
        <x:v>유효용량 미검증</x:v>
      </x:c>
      <x:c r="F39" s="49" t="str">
        <x:v>75g/사료t</x:v>
      </x:c>
    </x:row>
    <x:row r="40" ht="15" hidden="0" customHeight="1">
      <x:c r="A40" s="49" t="str">
        <x:v>가바케어믹스 제품원가</x:v>
      </x:c>
      <x:c r="B40" s="93" t="n">
        <x:v>4681.8</x:v>
      </x:c>
      <x:c r="C40" s="49" t="str">
        <x:v>원/kg</x:v>
      </x:c>
      <x:c r="D40" s="49" t="str">
        <x:v>입력</x:v>
      </x:c>
      <x:c r="E40" s="49" t="str">
        <x:v>근거 확인 필요</x:v>
      </x:c>
      <x:c r="F40" s="49" t="str">
        <x:v>기존 모델 가정</x:v>
      </x:c>
    </x:row>
    <x:row r="41" ht="15" hidden="0" customHeight="1">
      <x:c r="A41" s="49" t="str">
        <x:v>가바케어믹스 매출원가</x:v>
      </x:c>
      <x:c r="B41" s="96" t="n">
        <x:f>B39*B40</x:f>
        <x:v>351.135</x:v>
      </x:c>
      <x:c r="C41" s="49" t="str">
        <x:v>원/사료t</x:v>
      </x:c>
      <x:c r="D41" s="49" t="str">
        <x:v>투입량×제품원가</x:v>
      </x:c>
      <x:c r="E41" s="49" t="str">
        <x:v>계산</x:v>
      </x:c>
      <x:c r="F41" s="49" t="str"/>
    </x:row>
    <x:row r="42" ht="15" hidden="0" customHeight="1">
      <x:c r="A42" s="49" t="str">
        <x:v>가바케어믹스 매출총이익</x:v>
      </x:c>
      <x:c r="B42" s="96" t="n">
        <x:f>B38-B41</x:f>
        <x:v>5648.865</x:v>
      </x:c>
      <x:c r="C42" s="49" t="str">
        <x:v>원/사료t</x:v>
      </x:c>
      <x:c r="D42" s="49" t="str">
        <x:v>매출액-매출원가</x:v>
      </x:c>
      <x:c r="E42" s="49" t="str">
        <x:v>계산</x:v>
      </x:c>
      <x:c r="F42" s="49" t="str">
        <x:v>판매관리비·고정비 차감 전</x:v>
      </x:c>
    </x:row>
    <x:row r="43" ht="15" hidden="0" customHeight="1">
      <x:c r="A43" s="49" t="str">
        <x:v>가바케어믹스 매출총이익률</x:v>
      </x:c>
      <x:c r="B43" s="97" t="n">
        <x:f>B42/B38</x:f>
        <x:v>0.9414775</x:v>
      </x:c>
      <x:c r="C43" s="49" t="str">
        <x:v>%</x:v>
      </x:c>
      <x:c r="D43" s="49" t="str">
        <x:v>매출총이익÷매출액</x:v>
      </x:c>
      <x:c r="E43" s="49" t="str">
        <x:v>계산</x:v>
      </x:c>
      <x:c r="F43" s="49" t="str"/>
    </x:row>
    <x:row r="44" ht="15" hidden="0" customHeight="1">
      <x:c r="A44" s="49" t="str">
        <x:v>판매·현장 변동비</x:v>
      </x:c>
      <x:c r="B44" s="93" t="n">
        <x:v>1500</x:v>
      </x:c>
      <x:c r="C44" s="49" t="str">
        <x:v>원/사료t</x:v>
      </x:c>
      <x:c r="D44" s="49" t="str">
        <x:v>입력</x:v>
      </x:c>
      <x:c r="E44" s="49" t="str">
        <x:v>검증 필요</x:v>
      </x:c>
      <x:c r="F44" s="49" t="str">
        <x:v>채널·현장비</x:v>
      </x:c>
    </x:row>
    <x:row r="45" ht="15" hidden="0" customHeight="1">
      <x:c r="A45" s="49" t="str">
        <x:v>손익분기 기준이익</x:v>
      </x:c>
      <x:c r="B45" s="96" t="n">
        <x:f>B42-B44</x:f>
        <x:v>4148.865</x:v>
      </x:c>
      <x:c r="C45" s="49" t="str">
        <x:v>원/사료t</x:v>
      </x:c>
      <x:c r="D45" s="49" t="str">
        <x:v>매출총이익-판매·현장 변동비</x:v>
      </x:c>
      <x:c r="E45" s="49" t="str">
        <x:v>계산</x:v>
      </x:c>
      <x:c r="F45" s="49" t="str">
        <x:v>고정비 배부 전</x:v>
      </x:c>
    </x:row>
    <x:row r="46" ht="15" hidden="0" customHeight="1">
      <x:c r="A46" s="49" t="str"/>
      <x:c r="B46" s="87"/>
      <x:c r="C46" s="49" t="str"/>
      <x:c r="D46" s="49" t="str"/>
      <x:c r="E46" s="49" t="str"/>
      <x:c r="F46" s="49" t="str"/>
    </x:row>
    <x:row r="47" ht="15" hidden="0" customHeight="1">
      <x:c r="A47" s="49" t="str">
        <x:v>T1 검증예산</x:v>
      </x:c>
      <x:c r="B47" s="93" t="n">
        <x:v>45600000</x:v>
      </x:c>
      <x:c r="C47" s="49" t="str">
        <x:v>원</x:v>
      </x:c>
      <x:c r="D47" s="49" t="str">
        <x:v>입력</x:v>
      </x:c>
      <x:c r="E47" s="49" t="str">
        <x:v>검증 필요</x:v>
      </x:c>
      <x:c r="F47" s="49" t="str">
        <x:v>기존 모델 가정</x:v>
      </x:c>
    </x:row>
    <x:row r="48" ht="15" hidden="0" customHeight="1">
      <x:c r="A48" s="49" t="str">
        <x:v>T1 손익분기 물량</x:v>
      </x:c>
      <x:c r="B48" s="96" t="n">
        <x:f>IF(B45&lt;=0,"",B47/B45)</x:f>
        <x:v>10990.957767967866</x:v>
      </x:c>
      <x:c r="C48" s="49" t="str">
        <x:v>사료t</x:v>
      </x:c>
      <x:c r="D48" s="49" t="str">
        <x:v>검증예산÷손익분기 기준이익</x:v>
      </x:c>
      <x:c r="E48" s="49" t="str">
        <x:v>계산</x:v>
      </x:c>
      <x:c r="F48" s="49" t="str"/>
    </x:row>
    <x:row r="49" ht="15" hidden="0" customHeight="1">
      <x:c r="A49" s="49" t="str"/>
      <x:c r="B49" s="87"/>
      <x:c r="C49" s="49" t="str"/>
      <x:c r="D49" s="49" t="str"/>
      <x:c r="E49" s="49" t="str"/>
      <x:c r="F49" s="49" t="str"/>
    </x:row>
    <x:row r="50" ht="15" hidden="0" customHeight="1">
      <x:c r="A50" s="49" t="str">
        <x:v>반복주문 가바크루드 물량</x:v>
      </x:c>
      <x:c r="B50" s="93" t="n">
        <x:v>20000</x:v>
      </x:c>
      <x:c r="C50" s="49" t="str">
        <x:v>kg</x:v>
      </x:c>
      <x:c r="D50" s="49" t="str">
        <x:v>입력</x:v>
      </x:c>
      <x:c r="E50" s="49" t="str">
        <x:v>시나리오</x:v>
      </x:c>
      <x:c r="F50" s="49" t="str">
        <x:v>기존 모델 가정</x:v>
      </x:c>
    </x:row>
    <x:row r="51" ht="15" hidden="0" customHeight="1">
      <x:c r="A51" s="49" t="str">
        <x:v>반복주문 가바케어믹스 물량</x:v>
      </x:c>
      <x:c r="B51" s="93" t="n">
        <x:v>50000</x:v>
      </x:c>
      <x:c r="C51" s="49" t="str">
        <x:v>사료t</x:v>
      </x:c>
      <x:c r="D51" s="49" t="str">
        <x:v>입력</x:v>
      </x:c>
      <x:c r="E51" s="49" t="str">
        <x:v>시나리오</x:v>
      </x:c>
      <x:c r="F51" s="49" t="str">
        <x:v>기존 모델 가정</x:v>
      </x:c>
    </x:row>
    <x:row r="52" ht="15" hidden="0" customHeight="1">
      <x:c r="A52" s="49" t="str">
        <x:v>반복주문 총매출액</x:v>
      </x:c>
      <x:c r="B52" s="96" t="n">
        <x:f>B50*B26+B51*B38</x:f>
        <x:v>660000000</x:v>
      </x:c>
      <x:c r="C52" s="49" t="str">
        <x:v>원</x:v>
      </x:c>
      <x:c r="D52" s="49" t="str">
        <x:v>가바크루드 매출액+가바케어믹스 매출액</x:v>
      </x:c>
      <x:c r="E52" s="49" t="str">
        <x:v>계산</x:v>
      </x:c>
      <x:c r="F52" s="49" t="str"/>
    </x:row>
    <x:row r="53" ht="15" hidden="0" customHeight="1">
      <x:c r="A53" s="49" t="str">
        <x:v>반복주문 총매출총이익</x:v>
      </x:c>
      <x:c r="B53" s="96" t="str">
        <x:f>IF(B32="","",B50*B33+B51*B42)</x:f>
      </x:c>
      <x:c r="C53" s="49" t="str">
        <x:v>원</x:v>
      </x:c>
      <x:c r="D53" s="49" t="str">
        <x:v>두 제품 매출총이익 합계</x:v>
      </x:c>
      <x:c r="E53" s="49" t="str">
        <x:v>계산 대기</x:v>
      </x:c>
      <x:c r="F53" s="49" t="str">
        <x:v>가바크루드 최종 매출원가 입력 후 계산</x:v>
      </x:c>
    </x:row>
    <x:row r="54" ht="15" hidden="0" customHeight="1">
      <x:c r="A54" s="49" t="str"/>
      <x:c r="B54" s="87"/>
      <x:c r="C54" s="49" t="str"/>
      <x:c r="D54" s="49" t="str"/>
      <x:c r="E54" s="49" t="str"/>
      <x:c r="F54" s="49" t="str"/>
    </x:row>
    <x:row r="55" ht="15" hidden="0" customHeight="1">
      <x:c r="A55" s="49" t="str">
        <x:v>QA-질량수지</x:v>
      </x:c>
      <x:c r="B55" s="96" t="n">
        <x:f>B22</x:f>
        <x:v>0</x:v>
      </x:c>
      <x:c r="C55" s="49" t="str">
        <x:v>kg/배치</x:v>
      </x:c>
      <x:c r="D55" s="49" t="str">
        <x:v>질량수지 차이</x:v>
      </x:c>
      <x:c r="E55" s="49" t="str">
        <x:v>자동점검</x:v>
      </x:c>
      <x:c r="F55" s="49" t="str">
        <x:v>0이어야 함</x:v>
      </x:c>
    </x:row>
    <x:row r="56" ht="15" hidden="0" customHeight="1">
      <x:c r="A56" s="49" t="str">
        <x:v>QA-GABA 함량</x:v>
      </x:c>
      <x:c r="B56" s="96" t="n">
        <x:f>B23</x:f>
        <x:v>0</x:v>
      </x:c>
      <x:c r="C56" s="49" t="str">
        <x:v>kg/배치</x:v>
      </x:c>
      <x:c r="D56" s="49" t="str">
        <x:v>GABA 함량 차이</x:v>
      </x:c>
      <x:c r="E56" s="49" t="str">
        <x:v>자동점검</x:v>
      </x:c>
      <x:c r="F56" s="49" t="str">
        <x:v>0이어야 함</x:v>
      </x:c>
    </x:row>
    <x:row r="57" ht="15" hidden="0" customHeight="1">
      <x:c r="A57" s="49" t="str">
        <x:v>QA-가바크루드 매출총이익</x:v>
      </x:c>
      <x:c r="B57" s="96" t="str">
        <x:f>IF(B33="","",B26-B32-B33)</x:f>
      </x:c>
      <x:c r="C57" s="49" t="str">
        <x:v>원/kg</x:v>
      </x:c>
      <x:c r="D57" s="49" t="str">
        <x:v>판매가격-매출원가-매출총이익</x:v>
      </x:c>
      <x:c r="E57" s="49" t="str">
        <x:v>자동점검</x:v>
      </x:c>
      <x:c r="F57" s="49" t="str">
        <x:v>원가 입력 전 공란</x:v>
      </x:c>
    </x:row>
    <x:row r="58" ht="15" hidden="0" customHeight="1">
      <x:c r="A58" s="49" t="str">
        <x:v>QA-가바케어믹스 매출총이익</x:v>
      </x:c>
      <x:c r="B58" s="96" t="n">
        <x:f>B38-B41-B42</x:f>
        <x:v>0</x:v>
      </x:c>
      <x:c r="C58" s="49" t="str">
        <x:v>원/사료t</x:v>
      </x:c>
      <x:c r="D58" s="49" t="str">
        <x:v>매출액-매출원가-매출총이익</x:v>
      </x:c>
      <x:c r="E58" s="49" t="str">
        <x:v>자동점검</x:v>
      </x:c>
      <x:c r="F58" s="49" t="str">
        <x:v>0이어야 함</x:v>
      </x:c>
    </x:row>
    <x:row r="59" ht="15" hidden="0" customHeight="1">
      <x:c r="A59" s="41" t="str">
        <x:v>QA-미입력 원가</x:v>
      </x:c>
      <x:c r="B59" s="99" t="n">
        <x:f>COUNTBLANK(B28)+COUNTBLANK(B30)</x:f>
        <x:v>2</x:v>
      </x:c>
      <x:c r="C59" s="41" t="str">
        <x:v>개</x:v>
      </x:c>
      <x:c r="D59" s="41" t="str">
        <x:v>말토덱스트린·가공 원가 공란 수</x:v>
      </x:c>
      <x:c r="E59" s="41" t="str">
        <x:v>자동점검</x:v>
      </x:c>
      <x:c r="F59" s="41" t="str">
        <x:v>0이 되면 최종 매출원가 계산</x:v>
      </x:c>
    </x:row>
  </x:sheetData>
  <x:mergeCells>
    <x:mergeCell ref="A1:F1"/>
    <x:mergeCell ref="A2:F2"/>
    <x:mergeCell ref="A4:F4"/>
    <x:mergeCell ref="A17:F17"/>
    <x:mergeCell ref="A25:F25"/>
    <x:mergeCell ref="A37:F37"/>
  </x:mergeCells>
  <x:dataValidations count="1">
    <x:dataValidation type="list" sqref="E5:E59">
      <x:formula1>"사용자 제공,공정 가정,검증 필요,견적 필요,유효용량 미검증,근거 확인 필요,계산,계산 대기,참고 계산,시나리오,자동점검,검증 완료"</x:formula1>
    </x:dataValidation>
  </x:dataValidations>
  <x:pageMargins left="0.7" right="0.7" top="0.75" bottom="0.75" header="0.3" footer="0.3"/>
  <x:legacyDrawing xmlns:r="http://schemas.openxmlformats.org/officeDocument/2006/relationships" r:id="R4969205c061b4bc9"/>
</x:worksheet>
</file>

<file path=xl/worksheets/sheet5.xml><?xml version="1.0" encoding="utf-8"?>
<x:worksheet xmlns:x="http://schemas.openxmlformats.org/spreadsheetml/2006/main">
  <x:sheetViews>
    <x:sheetView showGridLines="0" workbookViewId="0"/>
  </x:sheetViews>
  <x:sheetFormatPr defaultRowHeight="15"/>
  <x:cols>
    <x:col min="1" max="1" width="20" hidden="0" customWidth="1"/>
    <x:col min="2" max="2" width="24" hidden="0" customWidth="1"/>
    <x:col min="3" max="3" width="70" hidden="0" customWidth="1"/>
  </x:cols>
  <x:sheetData>
    <x:row r="1" ht="24" hidden="0" customHeight="1">
      <x:c r="A1" s="3" t="str">
        <x:v>04 · GLOSSARY</x:v>
      </x:c>
      <x:c r="B1" s="3" t="str">
        <x:v>04 · GLOSSARY</x:v>
      </x:c>
      <x:c r="C1" s="3" t="str">
        <x:v>04 · GLOSSARY</x:v>
      </x:c>
    </x:row>
    <x:row r="2" ht="15" hidden="0" customHeight="1">
      <x:c r="A2" s="6" t="str">
        <x:v>사료업계 경험이 없어도 회의와 계약 문서를 읽을 수 있도록 핵심 용어를 평이하게 정리</x:v>
      </x:c>
      <x:c r="B2" s="6" t="str">
        <x:v>사료업계 경험이 없어도 회의와 계약 문서를 읽을 수 있도록 핵심 용어를 평이하게 정리</x:v>
      </x:c>
      <x:c r="C2" s="6" t="str">
        <x:v>사료업계 경험이 없어도 회의와 계약 문서를 읽을 수 있도록 핵심 용어를 평이하게 정리</x:v>
      </x:c>
    </x:row>
    <x:row r="3" ht="15" hidden="0" customHeight="1">
      <x:c r="A3" s="31" t="str">
        <x:v>약어/용어</x:v>
      </x:c>
      <x:c r="B3" s="32" t="str">
        <x:v>쉬운 뜻</x:v>
      </x:c>
      <x:c r="C3" s="33" t="str">
        <x:v>업무에서 이렇게 이해</x:v>
      </x:c>
    </x:row>
    <x:row r="4" ht="24" hidden="0" customHeight="1">
      <x:c r="A4" s="40" t="str">
        <x:v>GABA</x:v>
      </x:c>
      <x:c r="B4" s="40" t="str">
        <x:v>감마아미노부티르산</x:v>
      </x:c>
      <x:c r="C4" s="40" t="str">
        <x:v>동물의 신경계와 스트레스 반응에 관여하는 비단백질성 아미노산. 축종·용량·제형에 따라 효과가 달라질 수 있음.</x:v>
      </x:c>
    </x:row>
    <x:row r="5" ht="15" hidden="0" customHeight="1">
      <x:c r="A5" s="49" t="str">
        <x:v>마스터배치</x:v>
      </x:c>
      <x:c r="B5" s="49" t="str">
        <x:v>고농축 중간재</x:v>
      </x:c>
      <x:c r="C5" s="49" t="str">
        <x:v>최종 제품을 만들기 전에 핵심 성분을 일정 농도로 농축한 재고 단위.</x:v>
      </x:c>
    </x:row>
    <x:row r="6" ht="15" hidden="0" customHeight="1">
      <x:c r="A6" s="49" t="str">
        <x:v>OEM</x:v>
      </x:c>
      <x:c r="B6" s="49" t="str">
        <x:v>주문자상표 부착생산</x:v>
      </x:c>
      <x:c r="C6" s="49" t="str">
        <x:v>제품 설계·판매 주체가 외부 공장에 생산을 맡기는 방식.</x:v>
      </x:c>
    </x:row>
    <x:row r="7" ht="15" hidden="0" customHeight="1">
      <x:c r="A7" s="49" t="str">
        <x:v>SKU</x:v>
      </x:c>
      <x:c r="B7" s="49" t="str">
        <x:v>재고관리 단위</x:v>
      </x:c>
      <x:c r="C7" s="49" t="str">
        <x:v>서로 다른 규격·포장·배합을 구분하는 최소 품목 단위.</x:v>
      </x:c>
    </x:row>
    <x:row r="8" ht="15" hidden="0" customHeight="1">
      <x:c r="A8" s="49" t="str">
        <x:v>MOQ</x:v>
      </x:c>
      <x:c r="B8" s="49" t="str">
        <x:v>최소주문수량</x:v>
      </x:c>
      <x:c r="C8" s="49" t="str">
        <x:v>공장이 한 번에 생산해 주는 최소 물량.</x:v>
      </x:c>
    </x:row>
    <x:row r="9" ht="15" hidden="0" customHeight="1">
      <x:c r="A9" s="49" t="str">
        <x:v>리드타임</x:v>
      </x:c>
      <x:c r="B9" s="49" t="str">
        <x:v>주문~납품 시간</x:v>
      </x:c>
      <x:c r="C9" s="49" t="str">
        <x:v>발주 이후 생산·검사·출하까지 걸리는 기간.</x:v>
      </x:c>
    </x:row>
    <x:row r="10" ht="15" hidden="0" customHeight="1">
      <x:c r="A10" s="49" t="str">
        <x:v>CoA</x:v>
      </x:c>
      <x:c r="B10" s="49" t="str">
        <x:v>성적서</x:v>
      </x:c>
      <x:c r="C10" s="49" t="str">
        <x:v>로트별 성분·미생물·중금속 등의 시험 결과를 적은 문서.</x:v>
      </x:c>
    </x:row>
    <x:row r="11" ht="15" hidden="0" customHeight="1">
      <x:c r="A11" s="49" t="str">
        <x:v>FIFO</x:v>
      </x:c>
      <x:c r="B11" s="49" t="str">
        <x:v>선입선출</x:v>
      </x:c>
      <x:c r="C11" s="49" t="str">
        <x:v>먼저 입고한 재고를 먼저 출고하는 관리 원칙.</x:v>
      </x:c>
    </x:row>
    <x:row r="12" ht="15" hidden="0" customHeight="1">
      <x:c r="A12" s="49" t="str">
        <x:v>PO</x:v>
      </x:c>
      <x:c r="B12" s="49" t="str">
        <x:v>구매주문서</x:v>
      </x:c>
      <x:c r="C12" s="49" t="str">
        <x:v>구매자가 규격·수량·가격·납기를 확정해 발행하는 주문 문서.</x:v>
      </x:c>
    </x:row>
    <x:row r="13" ht="15" hidden="0" customHeight="1">
      <x:c r="A13" s="49" t="str">
        <x:v>QA Agreement</x:v>
      </x:c>
      <x:c r="B13" s="49" t="str">
        <x:v>품질합의서</x:v>
      </x:c>
      <x:c r="C13" s="49" t="str">
        <x:v>발주사와 제조사가 시험항목, 합격기준, 변경·일탈·회수 절차를 합의한 문서.</x:v>
      </x:c>
    </x:row>
    <x:row r="14" ht="15" hidden="0" customHeight="1">
      <x:c r="A14" s="49" t="str">
        <x:v>PoV</x:v>
      </x:c>
      <x:c r="B14" s="49" t="str">
        <x:v>가치검증</x:v>
      </x:c>
      <x:c r="C14" s="49" t="str">
        <x:v>실제 고객 환경에서 제품의 경제적·운영적 가치를 확인하는 유료 시험.</x:v>
      </x:c>
    </x:row>
    <x:row r="15" ht="15" hidden="0" customHeight="1">
      <x:c r="A15" s="49" t="str">
        <x:v>OEE</x:v>
      </x:c>
      <x:c r="B15" s="49" t="str">
        <x:v>설비종합효율</x:v>
      </x:c>
      <x:c r="C15" s="49" t="str">
        <x:v>가동률·성능·품질을 함께 본 공장 운영 효율 지표.</x:v>
      </x:c>
    </x:row>
    <x:row r="16" ht="15" hidden="0" customHeight="1">
      <x:c r="A16" s="49" t="str">
        <x:v>TMR</x:v>
      </x:c>
      <x:c r="B16" s="49" t="str">
        <x:v>완전혼합사료</x:v>
      </x:c>
      <x:c r="C16" s="49" t="str">
        <x:v>조사료와 농후사료를 한 번에 균일하게 섞은 사료.</x:v>
      </x:c>
    </x:row>
    <x:row r="17" ht="15" hidden="0" customHeight="1">
      <x:c r="A17" s="49" t="str">
        <x:v>THI</x:v>
      </x:c>
      <x:c r="B17" s="49" t="str">
        <x:v>온습도지수</x:v>
      </x:c>
      <x:c r="C17" s="49" t="str">
        <x:v>온도와 습도를 합쳐 가축의 열스트레스 정도를 보는 지표.</x:v>
      </x:c>
    </x:row>
    <x:row r="18" ht="15" hidden="0" customHeight="1">
      <x:c r="A18" s="49" t="str">
        <x:v>ADG</x:v>
      </x:c>
      <x:c r="B18" s="49" t="str">
        <x:v>일당증체량</x:v>
      </x:c>
      <x:c r="C18" s="49" t="str">
        <x:v>하루 평균 체중이 얼마나 늘었는지 보는 생산성 지표.</x:v>
      </x:c>
    </x:row>
    <x:row r="19" ht="15" hidden="0" customHeight="1">
      <x:c r="A19" s="49" t="str">
        <x:v>FCR</x:v>
      </x:c>
      <x:c r="B19" s="49" t="str">
        <x:v>사료요구율</x:v>
      </x:c>
      <x:c r="C19" s="49" t="str">
        <x:v>체중 1kg 증가에 필요한 사료량. 낮을수록 효율적.</x:v>
      </x:c>
    </x:row>
    <x:row r="20" ht="15" hidden="0" customHeight="1">
      <x:c r="A20" s="49" t="str">
        <x:v>근내지방도</x:v>
      </x:c>
      <x:c r="B20" s="49" t="str">
        <x:v>고기 속 지방의 분포 정도</x:v>
      </x:c>
      <x:c r="C20" s="49" t="str">
        <x:v>한우 육질등급 판정에 쓰이는 주요 항목 중 하나.</x:v>
      </x:c>
    </x:row>
    <x:row r="21" ht="15" hidden="0" customHeight="1">
      <x:c r="A21" s="49" t="str">
        <x:v>대조군</x:v>
      </x:c>
      <x:c r="B21" s="49" t="str">
        <x:v>비교 기준 집단</x:v>
      </x:c>
      <x:c r="C21" s="49" t="str">
        <x:v>가바케어믹스를 급여하지 않은 같은 조건의 소와 결과를 비교하는 집단.</x:v>
      </x:c>
    </x:row>
    <x:row r="22" ht="24" hidden="0" customHeight="1">
      <x:c r="A22" s="49" t="str">
        <x:v>사전 최소효과</x:v>
      </x:c>
      <x:c r="B22" s="49" t="str">
        <x:v>시험 전에 정한 의미 있는 변화의 기준</x:v>
      </x:c>
      <x:c r="C22" s="49" t="str">
        <x:v>결과를 본 뒤 기준을 바꾸지 않도록 시험계획서에 미리 기록하는 판정 기준.</x:v>
      </x:c>
    </x:row>
    <x:row r="23" ht="15" hidden="0" customHeight="1">
      <x:c r="A23" s="49" t="str">
        <x:v>RP-GABA</x:v>
      </x:c>
      <x:c r="B23" s="49" t="str">
        <x:v>반추위 보호 GABA</x:v>
      </x:c>
      <x:c r="C23" s="49" t="str">
        <x:v>반추위에서 바로 분해되지 않도록 코팅·보호한 GABA 제형.</x:v>
      </x:c>
    </x:row>
    <x:row r="24" ht="15" hidden="0" customHeight="1">
      <x:c r="A24" s="49" t="str">
        <x:v>매출액</x:v>
      </x:c>
      <x:c r="B24" s="49" t="str">
        <x:v>제품을 판매해 발생한 금액</x:v>
      </x:c>
      <x:c r="C24" s="49" t="str">
        <x:v>판매수량에 판매가격을 곱한 값.</x:v>
      </x:c>
    </x:row>
    <x:row r="25" ht="24" hidden="0" customHeight="1">
      <x:c r="A25" s="49" t="str">
        <x:v>매출원가</x:v>
      </x:c>
      <x:c r="B25" s="49" t="str">
        <x:v>판매된 제품을 만드는 데 직접 들어간 원가</x:v>
      </x:c>
      <x:c r="C25" s="49" t="str">
        <x:v>원료비·외주가공비·건조비·검사비·포장비처럼 제품 생산에 직접 연결되는 비용.</x:v>
      </x:c>
    </x:row>
    <x:row r="26" ht="15" hidden="0" customHeight="1">
      <x:c r="A26" s="49" t="str">
        <x:v>매출총이익</x:v>
      </x:c>
      <x:c r="B26" s="49" t="str">
        <x:v>매출액에서 매출원가를 뺀 금액</x:v>
      </x:c>
      <x:c r="C26" s="49" t="str">
        <x:v>제품 자체의 기본 수익성을 보는 값이며 판매관리비와 고정비는 아직 차감하지 않음.</x:v>
      </x:c>
    </x:row>
    <x:row r="27" ht="24" hidden="0" customHeight="1">
      <x:c r="A27" s="49" t="str">
        <x:v>손익분기 기준이익</x:v>
      </x:c>
      <x:c r="B27" s="49" t="str">
        <x:v>고정비 회수에 기여하는 주문단위 이익</x:v>
      </x:c>
      <x:c r="C27" s="49" t="str">
        <x:v>매출총이익에서 판매량에 따라 달라지는 판매·현장비를 뺀 값.</x:v>
      </x:c>
    </x:row>
    <x:row r="28" ht="15" hidden="0" customHeight="1">
      <x:c r="A28" s="49" t="str">
        <x:v>손익분기</x:v>
      </x:c>
      <x:c r="B28" s="49" t="str">
        <x:v>고정비 회수 지점</x:v>
      </x:c>
      <x:c r="C28" s="49" t="str">
        <x:v>누적 손익분기 기준이익이 초기·고정 비용과 같아지는 판매량.</x:v>
      </x:c>
    </x:row>
    <x:row r="29" ht="15" hidden="0" customHeight="1">
      <x:c r="A29" s="49" t="str">
        <x:v>사료공정</x:v>
      </x:c>
      <x:c r="B29" s="49" t="str">
        <x:v>사료 기준·규격 체계</x:v>
      </x:c>
      <x:c r="C29" s="49" t="str">
        <x:v>제조·사용·보존방법과 성분 규격을 정하는 제도적 기준.</x:v>
      </x:c>
    </x:row>
    <x:row r="30" ht="15" hidden="0" customHeight="1">
      <x:c r="A30" s="49" t="str">
        <x:v>품목분류</x:v>
      </x:c>
      <x:c r="B30" s="49" t="str">
        <x:v>어떤 사료로 볼지 결정</x:v>
      </x:c>
      <x:c r="C30" s="49" t="str">
        <x:v>단미사료·보조사료·배합사료 등 법적 범주와 등록경로를 정하는 과정.</x:v>
      </x:c>
    </x:row>
    <x:row r="31" ht="15" hidden="0" customHeight="1">
      <x:c r="A31" s="49" t="str">
        <x:v>기준품</x:v>
      </x:c>
      <x:c r="B31" s="49" t="str">
        <x:v>품질과 농도의 기준이 되는 제품</x:v>
      </x:c>
      <x:c r="C31" s="49" t="str">
        <x:v>가바크루드 GABA 20% 제품처럼 시험·출하 기준을 대표하는 규격.</x:v>
      </x:c>
    </x:row>
    <x:row r="32" ht="15" hidden="0" customHeight="1">
      <x:c r="A32" s="49" t="str">
        <x:v>미네랄매트릭스</x:v>
      </x:c>
      <x:c r="B32" s="49" t="str">
        <x:v>미네랄 기반 배합체</x:v>
      </x:c>
      <x:c r="C32" s="49" t="str">
        <x:v>가바크루드와 함께 가바케어믹스의 배합 구조와 투입 기준을 구성하는 혼합 기반.</x:v>
      </x:c>
    </x:row>
    <x:row r="33" ht="15" hidden="0" customHeight="1">
      <x:c r="A33" s="41" t="str">
        <x:v>CAPA</x:v>
      </x:c>
      <x:c r="B33" s="41" t="str">
        <x:v>생산가능량</x:v>
      </x:c>
      <x:c r="C33" s="41" t="str">
        <x:v>정해진 기간에 생산할 수 있는 최대 물량. 이 원장에서는 배양액의 월간 생산량.</x:v>
      </x:c>
    </x:row>
  </x:sheetData>
  <x:mergeCells>
    <x:mergeCell ref="A1:C1"/>
    <x:mergeCell ref="A2:C2"/>
  </x:mergeCells>
  <x:pageMargins left="0.7" right="0.7" top="0.75" bottom="0.75" header="0.3" footer="0.3"/>
  <x:tableParts count="1">
    <x:tablePart xmlns:r="http://schemas.openxmlformats.org/officeDocument/2006/relationships" r:id="R4f9b1106496c4303"/>
  </x:tableParts>
</x:worksheet>
</file>

<file path=xl/worksheets/sheet6.xml><?xml version="1.0" encoding="utf-8"?>
<x:worksheet xmlns:x="http://schemas.openxmlformats.org/spreadsheetml/2006/main">
  <x:sheetViews>
    <x:sheetView showGridLines="0" workbookViewId="0"/>
  </x:sheetViews>
  <x:sheetFormatPr defaultRowHeight="15"/>
  <x:cols>
    <x:col min="1" max="1" width="13" hidden="0" customWidth="1"/>
    <x:col min="2" max="2" width="14" hidden="0" customWidth="1"/>
    <x:col min="3" max="3" width="18" hidden="0" customWidth="1"/>
    <x:col min="4" max="4" width="48" hidden="0" customWidth="1"/>
    <x:col min="5" max="5" width="12" hidden="0" customWidth="1"/>
    <x:col min="6" max="6" width="36" hidden="0" customWidth="1"/>
    <x:col min="7" max="7" width="13" hidden="0" customWidth="1"/>
  </x:cols>
  <x:sheetData>
    <x:row r="1" ht="24" hidden="0" customHeight="1">
      <x:c r="A1" s="3" t="str">
        <x:v>05 · UPDATE LOG</x:v>
      </x:c>
      <x:c r="B1" s="3" t="str">
        <x:v>05 · UPDATE LOG</x:v>
      </x:c>
      <x:c r="C1" s="3" t="str">
        <x:v>05 · UPDATE LOG</x:v>
      </x:c>
      <x:c r="D1" s="3" t="str">
        <x:v>05 · UPDATE LOG</x:v>
      </x:c>
      <x:c r="E1" s="3" t="str">
        <x:v>05 · UPDATE LOG</x:v>
      </x:c>
      <x:c r="F1" s="3" t="str">
        <x:v>05 · UPDATE LOG</x:v>
      </x:c>
      <x:c r="G1" s="3" t="str">
        <x:v>05 · UPDATE LOG</x:v>
      </x:c>
    </x:row>
    <x:row r="2" ht="15" hidden="0" customHeight="1">
      <x:c r="A2" s="6" t="str">
        <x:v>변경 자체보다 그 변경이 점수·전략·계약 판단에 어떤 영향을 주었는지 기록</x:v>
      </x:c>
      <x:c r="B2" s="6" t="str">
        <x:v>변경 자체보다 그 변경이 점수·전략·계약 판단에 어떤 영향을 주었는지 기록</x:v>
      </x:c>
      <x:c r="C2" s="6" t="str">
        <x:v>변경 자체보다 그 변경이 점수·전략·계약 판단에 어떤 영향을 주었는지 기록</x:v>
      </x:c>
      <x:c r="D2" s="6" t="str">
        <x:v>변경 자체보다 그 변경이 점수·전략·계약 판단에 어떤 영향을 주었는지 기록</x:v>
      </x:c>
      <x:c r="E2" s="6" t="str">
        <x:v>변경 자체보다 그 변경이 점수·전략·계약 판단에 어떤 영향을 주었는지 기록</x:v>
      </x:c>
      <x:c r="F2" s="6" t="str">
        <x:v>변경 자체보다 그 변경이 점수·전략·계약 판단에 어떤 영향을 주었는지 기록</x:v>
      </x:c>
      <x:c r="G2" s="6" t="str">
        <x:v>변경 자체보다 그 변경이 점수·전략·계약 판단에 어떤 영향을 주었는지 기록</x:v>
      </x:c>
    </x:row>
    <x:row r="3" ht="15" hidden="0" customHeight="1">
      <x:c r="A3" s="31" t="str">
        <x:v>업데이트일</x:v>
      </x:c>
      <x:c r="B3" s="32" t="str">
        <x:v>작성자</x:v>
      </x:c>
      <x:c r="C3" s="32" t="str">
        <x:v>변경영역</x:v>
      </x:c>
      <x:c r="D3" s="32" t="str">
        <x:v>변경 내용</x:v>
      </x:c>
      <x:c r="E3" s="32" t="str">
        <x:v>점수 영향</x:v>
      </x:c>
      <x:c r="F3" s="32" t="str">
        <x:v>결정 영향</x:v>
      </x:c>
      <x:c r="G3" s="33" t="str">
        <x:v>다음 확인일</x:v>
      </x:c>
    </x:row>
    <x:row r="4" ht="15" hidden="0" customHeight="1">
      <x:c r="A4" s="66" t="n">
        <x:v>46237</x:v>
      </x:c>
      <x:c r="B4" s="40" t="str">
        <x:v>Codex</x:v>
      </x:c>
      <x:c r="C4" s="40" t="str">
        <x:v>초기 구축</x:v>
      </x:c>
      <x:c r="D4" s="40" t="str">
        <x:v>원본 22장 검토, 공식·학술 근거 레지스터, 예비 준비도 41점 구성</x:v>
      </x:c>
      <x:c r="E4" s="40" t="n">
        <x:v>0</x:v>
      </x:c>
      <x:c r="F4" s="40" t="str">
        <x:v>VALIDATE 단계로 정의</x:v>
      </x:c>
      <x:c r="G4" s="66" t="n">
        <x:v>46251</x:v>
      </x:c>
    </x:row>
    <x:row r="5" ht="36" hidden="0" customHeight="1">
      <x:c r="A5" s="67" t="n">
        <x:v>46237</x:v>
      </x:c>
      <x:c r="B5" s="49" t="str">
        <x:v>Codex</x:v>
      </x:c>
      <x:c r="C5" s="49" t="str">
        <x:v>원가 QA</x:v>
      </x:c>
      <x:c r="D5" s="49" t="str">
        <x:v>배양액 1톤에서 GABA 200kg·기타 고형분 100kg을 확인하고 말토덱스트린 700kg을 더해 GABA 20% 가바크루드 1,000kg을 생산하는 산식으로 보정</x:v>
      </x:c>
      <x:c r="E5" s="49" t="n">
        <x:v>0</x:v>
      </x:c>
      <x:c r="F5" s="49" t="str">
        <x:v>9,240원/kg 가정을 폐기하고 배양액 원가 하한 4,000원/kg과 추가 견적 입력식으로 전환</x:v>
      </x:c>
      <x:c r="G5" s="67" t="n">
        <x:v>46244</x:v>
      </x:c>
    </x:row>
    <x:row r="6" ht="15" hidden="0" customHeight="1">
      <x:c r="A6" s="67" t="n">
        <x:v>46237</x:v>
      </x:c>
      <x:c r="B6" s="49" t="str">
        <x:v>Codex</x:v>
      </x:c>
      <x:c r="C6" s="49" t="str">
        <x:v>제품근거</x:v>
      </x:c>
      <x:c r="D6" s="49" t="str">
        <x:v>2026 젖소, 2025 넙치, 2023 한우 연구의 긍정·중립 결과를 함께 등록</x:v>
      </x:c>
      <x:c r="E6" s="49" t="n">
        <x:v>0</x:v>
      </x:c>
      <x:c r="F6" s="49" t="str">
        <x:v>한 축종·한 제형·한 용량 PoV 우선</x:v>
      </x:c>
      <x:c r="G6" s="67" t="n">
        <x:v>46310</x:v>
      </x:c>
    </x:row>
    <x:row r="7" ht="24" hidden="0" customHeight="1">
      <x:c r="A7" s="67" t="n">
        <x:v>46237</x:v>
      </x:c>
      <x:c r="B7" s="49" t="str">
        <x:v>Codex</x:v>
      </x:c>
      <x:c r="C7" s="49" t="str">
        <x:v>사업모델</x:v>
      </x:c>
      <x:c r="D7" s="49" t="str">
        <x:v>가바크루드 원료 사업과 가바케어믹스 배합사료 사업으로 구분하고 핵심 인력·생산 파트너를 등록</x:v>
      </x:c>
      <x:c r="E7" s="49" t="n">
        <x:v>0</x:v>
      </x:c>
      <x:c r="F7" s="49" t="str">
        <x:v>원료와 배합사료의 고객·품질·매출 책임을 분리</x:v>
      </x:c>
      <x:c r="G7" s="67" t="n">
        <x:v>46251</x:v>
      </x:c>
    </x:row>
    <x:row r="8" ht="24" hidden="0" customHeight="1">
      <x:c r="A8" s="67" t="n">
        <x:v>46237</x:v>
      </x:c>
      <x:c r="B8" s="49" t="str">
        <x:v>Codex</x:v>
      </x:c>
      <x:c r="C8" s="49" t="str">
        <x:v>상업검증</x:v>
      </x:c>
      <x:c r="D8" s="49" t="str">
        <x:v>가바케어믹스를 비육 한우 브랜드 축산용 배합사료로 고도화하고 30일·90일·출하 검증 체계와 KPI를 등록</x:v>
      </x:c>
      <x:c r="E8" s="49" t="n">
        <x:v>0</x:v>
      </x:c>
      <x:c r="F8" s="49" t="str">
        <x:v>30일 유료 실증 착수, 90일 생산성 조기 신호, 출하 육질 최종 판정</x:v>
      </x:c>
      <x:c r="G8" s="67" t="n">
        <x:v>46244</x:v>
      </x:c>
    </x:row>
    <x:row r="9" ht="15" hidden="0" customHeight="1">
      <x:c r="A9" s="67"/>
      <x:c r="B9" s="49"/>
      <x:c r="C9" s="49"/>
      <x:c r="D9" s="49"/>
      <x:c r="E9" s="49"/>
      <x:c r="F9" s="49"/>
      <x:c r="G9" s="67"/>
    </x:row>
    <x:row r="10" ht="15" hidden="0" customHeight="1">
      <x:c r="A10" s="67"/>
      <x:c r="B10" s="49"/>
      <x:c r="C10" s="49"/>
      <x:c r="D10" s="49"/>
      <x:c r="E10" s="49"/>
      <x:c r="F10" s="49"/>
      <x:c r="G10" s="67"/>
    </x:row>
    <x:row r="11" ht="15" hidden="0" customHeight="1">
      <x:c r="A11" s="67"/>
      <x:c r="B11" s="49"/>
      <x:c r="C11" s="49"/>
      <x:c r="D11" s="49"/>
      <x:c r="E11" s="49"/>
      <x:c r="F11" s="49"/>
      <x:c r="G11" s="67"/>
    </x:row>
    <x:row r="12" ht="15" hidden="0" customHeight="1">
      <x:c r="A12" s="67"/>
      <x:c r="B12" s="49"/>
      <x:c r="C12" s="49"/>
      <x:c r="D12" s="49"/>
      <x:c r="E12" s="49"/>
      <x:c r="F12" s="49"/>
      <x:c r="G12" s="67"/>
    </x:row>
    <x:row r="13" ht="15" hidden="0" customHeight="1">
      <x:c r="A13" s="67"/>
      <x:c r="B13" s="49"/>
      <x:c r="C13" s="49"/>
      <x:c r="D13" s="49"/>
      <x:c r="E13" s="49"/>
      <x:c r="F13" s="49"/>
      <x:c r="G13" s="67"/>
    </x:row>
    <x:row r="14" ht="15" hidden="0" customHeight="1">
      <x:c r="A14" s="67"/>
      <x:c r="B14" s="49"/>
      <x:c r="C14" s="49"/>
      <x:c r="D14" s="49"/>
      <x:c r="E14" s="49"/>
      <x:c r="F14" s="49"/>
      <x:c r="G14" s="67"/>
    </x:row>
    <x:row r="15" ht="15" hidden="0" customHeight="1">
      <x:c r="A15" s="67"/>
      <x:c r="B15" s="49"/>
      <x:c r="C15" s="49"/>
      <x:c r="D15" s="49"/>
      <x:c r="E15" s="49"/>
      <x:c r="F15" s="49"/>
      <x:c r="G15" s="67"/>
    </x:row>
    <x:row r="16" ht="15" hidden="0" customHeight="1">
      <x:c r="A16" s="67"/>
      <x:c r="B16" s="49"/>
      <x:c r="C16" s="49"/>
      <x:c r="D16" s="49"/>
      <x:c r="E16" s="49"/>
      <x:c r="F16" s="49"/>
      <x:c r="G16" s="67"/>
    </x:row>
    <x:row r="17" ht="15" hidden="0" customHeight="1">
      <x:c r="A17" s="67"/>
      <x:c r="B17" s="49"/>
      <x:c r="C17" s="49"/>
      <x:c r="D17" s="49"/>
      <x:c r="E17" s="49"/>
      <x:c r="F17" s="49"/>
      <x:c r="G17" s="67"/>
    </x:row>
    <x:row r="18" ht="15" hidden="0" customHeight="1">
      <x:c r="A18" s="67"/>
      <x:c r="B18" s="49"/>
      <x:c r="C18" s="49"/>
      <x:c r="D18" s="49"/>
      <x:c r="E18" s="49"/>
      <x:c r="F18" s="49"/>
      <x:c r="G18" s="67"/>
    </x:row>
    <x:row r="19" ht="15" hidden="0" customHeight="1">
      <x:c r="A19" s="67"/>
      <x:c r="B19" s="49"/>
      <x:c r="C19" s="49"/>
      <x:c r="D19" s="49"/>
      <x:c r="E19" s="49"/>
      <x:c r="F19" s="49"/>
      <x:c r="G19" s="67"/>
    </x:row>
    <x:row r="20" ht="15" hidden="0" customHeight="1">
      <x:c r="A20" s="67"/>
      <x:c r="B20" s="49"/>
      <x:c r="C20" s="49"/>
      <x:c r="D20" s="49"/>
      <x:c r="E20" s="49"/>
      <x:c r="F20" s="49"/>
      <x:c r="G20" s="67"/>
    </x:row>
    <x:row r="21" ht="15" hidden="0" customHeight="1">
      <x:c r="A21" s="67"/>
      <x:c r="B21" s="49"/>
      <x:c r="C21" s="49"/>
      <x:c r="D21" s="49"/>
      <x:c r="E21" s="49"/>
      <x:c r="F21" s="49"/>
      <x:c r="G21" s="67"/>
    </x:row>
    <x:row r="22" ht="15" hidden="0" customHeight="1">
      <x:c r="A22" s="67"/>
      <x:c r="B22" s="49"/>
      <x:c r="C22" s="49"/>
      <x:c r="D22" s="49"/>
      <x:c r="E22" s="49"/>
      <x:c r="F22" s="49"/>
      <x:c r="G22" s="67"/>
    </x:row>
    <x:row r="23" ht="15" hidden="0" customHeight="1">
      <x:c r="A23" s="67"/>
      <x:c r="B23" s="49"/>
      <x:c r="C23" s="49"/>
      <x:c r="D23" s="49"/>
      <x:c r="E23" s="49"/>
      <x:c r="F23" s="49"/>
      <x:c r="G23" s="67"/>
    </x:row>
    <x:row r="24" ht="15" hidden="0" customHeight="1">
      <x:c r="A24" s="67"/>
      <x:c r="B24" s="49"/>
      <x:c r="C24" s="49"/>
      <x:c r="D24" s="49"/>
      <x:c r="E24" s="49"/>
      <x:c r="F24" s="49"/>
      <x:c r="G24" s="67"/>
    </x:row>
    <x:row r="25" ht="15" hidden="0" customHeight="1">
      <x:c r="A25" s="67"/>
      <x:c r="B25" s="49"/>
      <x:c r="C25" s="49"/>
      <x:c r="D25" s="49"/>
      <x:c r="E25" s="49"/>
      <x:c r="F25" s="49"/>
      <x:c r="G25" s="67"/>
    </x:row>
    <x:row r="26" ht="15" hidden="0" customHeight="1">
      <x:c r="A26" s="67"/>
      <x:c r="B26" s="49"/>
      <x:c r="C26" s="49"/>
      <x:c r="D26" s="49"/>
      <x:c r="E26" s="49"/>
      <x:c r="F26" s="49"/>
      <x:c r="G26" s="67"/>
    </x:row>
    <x:row r="27" ht="15" hidden="0" customHeight="1">
      <x:c r="A27" s="67"/>
      <x:c r="B27" s="49"/>
      <x:c r="C27" s="49"/>
      <x:c r="D27" s="49"/>
      <x:c r="E27" s="49"/>
      <x:c r="F27" s="49"/>
      <x:c r="G27" s="67"/>
    </x:row>
    <x:row r="28" ht="15" hidden="0" customHeight="1">
      <x:c r="A28" s="67"/>
      <x:c r="B28" s="49"/>
      <x:c r="C28" s="49"/>
      <x:c r="D28" s="49"/>
      <x:c r="E28" s="49"/>
      <x:c r="F28" s="49"/>
      <x:c r="G28" s="67"/>
    </x:row>
    <x:row r="29" ht="15" hidden="0" customHeight="1">
      <x:c r="A29" s="67"/>
      <x:c r="B29" s="49"/>
      <x:c r="C29" s="49"/>
      <x:c r="D29" s="49"/>
      <x:c r="E29" s="49"/>
      <x:c r="F29" s="49"/>
      <x:c r="G29" s="67"/>
    </x:row>
    <x:row r="30" ht="15" hidden="0" customHeight="1">
      <x:c r="A30" s="68"/>
      <x:c r="B30" s="41"/>
      <x:c r="C30" s="41"/>
      <x:c r="D30" s="41"/>
      <x:c r="E30" s="41"/>
      <x:c r="F30" s="41"/>
      <x:c r="G30" s="68"/>
    </x:row>
  </x:sheetData>
  <x:mergeCells>
    <x:mergeCell ref="A1:G1"/>
    <x:mergeCell ref="A2:G2"/>
  </x:mergeCells>
  <x:dataValidations count="1">
    <x:dataValidation type="list" sqref="C4:C30">
      <x:formula1>"사업모델,팀·파트너,정책,시장,제품근거,공급·QA,원가 QA,상업검증,초기 구축"</x:formula1>
    </x:dataValidation>
  </x:dataValidations>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19" hidden="0" customWidth="1"/>
    <x:col min="2" max="2" width="16" hidden="0" customWidth="1"/>
    <x:col min="3" max="3" width="34" hidden="0" customWidth="1"/>
    <x:col min="4" max="4" width="27" hidden="0" customWidth="1"/>
    <x:col min="5" max="5" width="27" hidden="0" customWidth="1"/>
    <x:col min="6" max="6" width="25" hidden="0" customWidth="1"/>
    <x:col min="7" max="7" width="28" hidden="0" customWidth="1"/>
    <x:col min="8" max="8" width="16" hidden="0" customWidth="1"/>
  </x:cols>
  <x:sheetData>
    <x:row r="1" ht="24" hidden="0" customHeight="1">
      <x:c r="A1" s="3" t="str">
        <x:v>06 · BUSINESS MODEL &amp; TEAM</x:v>
      </x:c>
      <x:c r="B1" s="3" t="str">
        <x:v>06 · BUSINESS MODEL &amp; TEAM</x:v>
      </x:c>
      <x:c r="C1" s="3" t="str">
        <x:v>06 · BUSINESS MODEL &amp; TEAM</x:v>
      </x:c>
      <x:c r="D1" s="3" t="str">
        <x:v>06 · BUSINESS MODEL &amp; TEAM</x:v>
      </x:c>
      <x:c r="E1" s="3" t="str">
        <x:v>06 · BUSINESS MODEL &amp; TEAM</x:v>
      </x:c>
      <x:c r="F1" s="3" t="str">
        <x:v>06 · BUSINESS MODEL &amp; TEAM</x:v>
      </x:c>
      <x:c r="G1" s="3" t="str">
        <x:v>06 · BUSINESS MODEL &amp; TEAM</x:v>
      </x:c>
      <x:c r="H1" s="3" t="str">
        <x:v>06 · BUSINESS MODEL &amp; TEAM</x:v>
      </x:c>
    </x:row>
    <x:row r="2" ht="15" hidden="0" customHeight="1">
      <x:c r="A2" s="6" t="str">
        <x:v>두 사업의 역할과 사업화 핵심 인력, 생산 파트너를 한곳에서 확인</x:v>
      </x:c>
      <x:c r="B2" s="6" t="str">
        <x:v>두 사업의 역할과 사업화 핵심 인력, 생산 파트너를 한곳에서 확인</x:v>
      </x:c>
      <x:c r="C2" s="6" t="str">
        <x:v>두 사업의 역할과 사업화 핵심 인력, 생산 파트너를 한곳에서 확인</x:v>
      </x:c>
      <x:c r="D2" s="6" t="str">
        <x:v>두 사업의 역할과 사업화 핵심 인력, 생산 파트너를 한곳에서 확인</x:v>
      </x:c>
      <x:c r="E2" s="6" t="str">
        <x:v>두 사업의 역할과 사업화 핵심 인력, 생산 파트너를 한곳에서 확인</x:v>
      </x:c>
      <x:c r="F2" s="6" t="str">
        <x:v>두 사업의 역할과 사업화 핵심 인력, 생산 파트너를 한곳에서 확인</x:v>
      </x:c>
      <x:c r="G2" s="6" t="str">
        <x:v>두 사업의 역할과 사업화 핵심 인력, 생산 파트너를 한곳에서 확인</x:v>
      </x:c>
      <x:c r="H2" s="6" t="str">
        <x:v>두 사업의 역할과 사업화 핵심 인력, 생산 파트너를 한곳에서 확인</x:v>
      </x:c>
    </x:row>
    <x:row r="3"/>
    <x:row r="4" ht="15" hidden="0" customHeight="1">
      <x:c r="A4" s="34" t="str">
        <x:v>사업 이원화</x:v>
      </x:c>
      <x:c r="B4" s="34" t="str">
        <x:v>사업 이원화</x:v>
      </x:c>
      <x:c r="C4" s="34" t="str">
        <x:v>사업 이원화</x:v>
      </x:c>
      <x:c r="D4" s="34" t="str">
        <x:v>사업 이원화</x:v>
      </x:c>
      <x:c r="E4" s="34" t="str">
        <x:v>사업 이원화</x:v>
      </x:c>
      <x:c r="F4" s="34" t="str">
        <x:v>사업 이원화</x:v>
      </x:c>
      <x:c r="G4" s="34" t="str">
        <x:v>사업 이원화</x:v>
      </x:c>
      <x:c r="H4" s="34" t="str">
        <x:v>사업 이원화</x:v>
      </x:c>
    </x:row>
    <x:row r="5" ht="15" hidden="0" customHeight="1">
      <x:c r="A5" s="31" t="str">
        <x:v>사업명</x:v>
      </x:c>
      <x:c r="B5" s="32" t="str">
        <x:v>구분</x:v>
      </x:c>
      <x:c r="C5" s="32" t="str">
        <x:v>기준 제품</x:v>
      </x:c>
      <x:c r="D5" s="32" t="str">
        <x:v>확장 제품</x:v>
      </x:c>
      <x:c r="E5" s="32" t="str">
        <x:v>매출 방식</x:v>
      </x:c>
      <x:c r="F5" s="32" t="str">
        <x:v>품질 초점</x:v>
      </x:c>
      <x:c r="G5" s="32" t="str">
        <x:v>주요 고객</x:v>
      </x:c>
      <x:c r="H5" s="33" t="str">
        <x:v>자료 기준</x:v>
      </x:c>
    </x:row>
    <x:row r="6" ht="15" hidden="0" customHeight="1">
      <x:c r="A6" s="44" t="str">
        <x:v>가바크루드</x:v>
      </x:c>
      <x:c r="B6" s="40" t="str">
        <x:v>원료 사업</x:v>
      </x:c>
      <x:c r="C6" s="40" t="str">
        <x:v>GABA 20% 기준품</x:v>
      </x:c>
      <x:c r="D6" s="40" t="str">
        <x:v>OEM 5~20% 맞춤 농도</x:v>
      </x:c>
      <x:c r="E6" s="40" t="str">
        <x:v>기준품·주문형 원료 판매</x:v>
      </x:c>
      <x:c r="F6" s="40" t="str">
        <x:v>활성함량·CoA·농도 규격</x:v>
      </x:c>
      <x:c r="G6" s="40" t="str">
        <x:v>사료업체·OEM 발주처</x:v>
      </x:c>
      <x:c r="H6" s="40" t="str">
        <x:v>사용자 제공</x:v>
      </x:c>
    </x:row>
    <x:row r="7" ht="15" hidden="0" customHeight="1">
      <x:c r="A7" s="45" t="str">
        <x:v>가바케어믹스</x:v>
      </x:c>
      <x:c r="B7" s="41" t="str">
        <x:v>배합사료 사업</x:v>
      </x:c>
      <x:c r="C7" s="41" t="str">
        <x:v>가바크루드+미네랄매트릭스</x:v>
      </x:c>
      <x:c r="D7" s="41" t="str">
        <x:v>비육 한우 브랜드 축산용 배합</x:v>
      </x:c>
      <x:c r="E7" s="41" t="str">
        <x:v>배합사료·유료 농장 실증</x:v>
      </x:c>
      <x:c r="F7" s="41" t="str">
        <x:v>육질·생산성·재현성</x:v>
      </x:c>
      <x:c r="G7" s="41" t="str">
        <x:v>한우 브랜드·비육 농장</x:v>
      </x:c>
      <x:c r="H7" s="41" t="str">
        <x:v>사용자 제공</x:v>
      </x:c>
    </x:row>
    <x:row r="8"/>
    <x:row r="9" ht="15" hidden="0" customHeight="1">
      <x:c r="A9" s="46" t="str">
        <x:v>사업화 핵심 인력</x:v>
      </x:c>
      <x:c r="B9" s="46" t="str">
        <x:v>사업화 핵심 인력</x:v>
      </x:c>
      <x:c r="C9" s="46" t="str">
        <x:v>사업화 핵심 인력</x:v>
      </x:c>
      <x:c r="D9" s="46" t="str">
        <x:v>사업화 핵심 인력</x:v>
      </x:c>
      <x:c r="E9" s="46" t="str">
        <x:v>사업화 핵심 인력</x:v>
      </x:c>
      <x:c r="F9" s="46" t="str">
        <x:v>사업화 핵심 인력</x:v>
      </x:c>
      <x:c r="G9" s="46" t="str">
        <x:v>사업화 핵심 인력</x:v>
      </x:c>
      <x:c r="H9" s="46" t="str">
        <x:v>사업화 핵심 인력</x:v>
      </x:c>
    </x:row>
    <x:row r="10" ht="15" hidden="0" customHeight="1">
      <x:c r="A10" s="31" t="str">
        <x:v>성명</x:v>
      </x:c>
      <x:c r="B10" s="32" t="str">
        <x:v>역할</x:v>
      </x:c>
      <x:c r="C10" s="32" t="str">
        <x:v>현재 소속·직책</x:v>
      </x:c>
      <x:c r="D10" s="32" t="str">
        <x:v>주요 경력 1</x:v>
      </x:c>
      <x:c r="E10" s="32" t="str">
        <x:v>주요 경력 2</x:v>
      </x:c>
      <x:c r="F10" s="32" t="str">
        <x:v>전문 영역</x:v>
      </x:c>
      <x:c r="G10" s="32" t="str">
        <x:v>외부 공유 전 확인</x:v>
      </x:c>
      <x:c r="H10" s="33" t="str">
        <x:v>자료 기준</x:v>
      </x:c>
    </x:row>
    <x:row r="11" ht="15" hidden="0" customHeight="1">
      <x:c r="A11" s="103" t="str">
        <x:v>장순욱</x:v>
      </x:c>
      <x:c r="B11" s="40" t="str">
        <x:v>분석기술 전문가</x:v>
      </x:c>
      <x:c r="C11" s="40" t="str">
        <x:v>현 셀핀다 생명과학연구소 부사장</x:v>
      </x:c>
      <x:c r="D11" s="40" t="str">
        <x:v>전 해원바이오 전무</x:v>
      </x:c>
      <x:c r="E11" s="40" t="str">
        <x:v>전 한국신약 연구소장</x:v>
      </x:c>
      <x:c r="F11" s="40" t="str">
        <x:v>분석기술</x:v>
      </x:c>
      <x:c r="G11" s="40" t="str">
        <x:v>재직·경력 확인</x:v>
      </x:c>
      <x:c r="H11" s="40" t="str">
        <x:v>사용자 제공</x:v>
      </x:c>
    </x:row>
    <x:row r="12" ht="24" hidden="0" customHeight="1">
      <x:c r="A12" s="104" t="str">
        <x:v>구자룡</x:v>
      </x:c>
      <x:c r="B12" s="49" t="str">
        <x:v>분석기술 고문</x:v>
      </x:c>
      <x:c r="C12" s="49" t="str">
        <x:v>현 국가공인 시험·검사기관 충남대 농업과학연구소 총괄책임</x:v>
      </x:c>
      <x:c r="D12" s="49" t="str">
        <x:v>전 우성사료 연구소장</x:v>
      </x:c>
      <x:c r="E12" s="49" t="str"/>
      <x:c r="F12" s="49" t="str">
        <x:v>사료 분석·시험검사</x:v>
      </x:c>
      <x:c r="G12" s="49" t="str">
        <x:v>재직·경력 확인</x:v>
      </x:c>
      <x:c r="H12" s="49" t="str">
        <x:v>사용자 제공</x:v>
      </x:c>
    </x:row>
    <x:row r="13" ht="15" hidden="0" customHeight="1">
      <x:c r="A13" s="105" t="str">
        <x:v>박지호</x:v>
      </x:c>
      <x:c r="B13" s="41" t="str">
        <x:v>정밀발효·정제 전문가</x:v>
      </x:c>
      <x:c r="C13" s="41" t="str">
        <x:v>현 셀핀다 생명과학연구소 소장</x:v>
      </x:c>
      <x:c r="D13" s="41" t="str">
        <x:v>전 현대바이오랜드 재직</x:v>
      </x:c>
      <x:c r="E13" s="41" t="str"/>
      <x:c r="F13" s="41" t="str">
        <x:v>정밀발효·정제</x:v>
      </x:c>
      <x:c r="G13" s="41" t="str">
        <x:v>과거 직책·재직 확인</x:v>
      </x:c>
      <x:c r="H13" s="41" t="str">
        <x:v>사용자 제공</x:v>
      </x:c>
    </x:row>
    <x:row r="14"/>
    <x:row r="15" ht="15" hidden="0" customHeight="1">
      <x:c r="A15" s="34" t="str">
        <x:v>생산 파트너와 배양액 생산가능량</x:v>
      </x:c>
      <x:c r="B15" s="34" t="str">
        <x:v>생산 파트너와 배양액 생산가능량</x:v>
      </x:c>
      <x:c r="C15" s="34" t="str">
        <x:v>생산 파트너와 배양액 생산가능량</x:v>
      </x:c>
      <x:c r="D15" s="34" t="str">
        <x:v>생산 파트너와 배양액 생산가능량</x:v>
      </x:c>
      <x:c r="E15" s="34" t="str">
        <x:v>생산 파트너와 배양액 생산가능량</x:v>
      </x:c>
      <x:c r="F15" s="34" t="str">
        <x:v>생산 파트너와 배양액 생산가능량</x:v>
      </x:c>
      <x:c r="G15" s="34" t="str">
        <x:v>생산 파트너와 배양액 생산가능량</x:v>
      </x:c>
      <x:c r="H15" s="34" t="str">
        <x:v>생산 파트너와 배양액 생산가능량</x:v>
      </x:c>
    </x:row>
    <x:row r="16" ht="15" hidden="0" customHeight="1">
      <x:c r="A16" s="31" t="str">
        <x:v>생산 파트너</x:v>
      </x:c>
      <x:c r="B16" s="32" t="str">
        <x:v>배양액 톤/월</x:v>
      </x:c>
      <x:c r="C16" s="32" t="str">
        <x:v>단위</x:v>
      </x:c>
      <x:c r="D16" s="32" t="str">
        <x:v>역할</x:v>
      </x:c>
      <x:c r="E16" s="32" t="str">
        <x:v>계약 상태</x:v>
      </x:c>
      <x:c r="F16" s="32" t="str">
        <x:v>가동 조건</x:v>
      </x:c>
      <x:c r="G16" s="32" t="str">
        <x:v>외부 공유 전 확인</x:v>
      </x:c>
      <x:c r="H16" s="33" t="str">
        <x:v>자료 기준</x:v>
      </x:c>
    </x:row>
    <x:row r="17" ht="15" hidden="0" customHeight="1">
      <x:c r="A17" s="40" t="str">
        <x:v>비전바이오켐</x:v>
      </x:c>
      <x:c r="B17" s="106" t="n">
        <x:v>20</x:v>
      </x:c>
      <x:c r="C17" s="40" t="str">
        <x:v>톤/월</x:v>
      </x:c>
      <x:c r="D17" s="40" t="str">
        <x:v>배양액 생산</x:v>
      </x:c>
      <x:c r="E17" s="40" t="str">
        <x:v>확인 필요</x:v>
      </x:c>
      <x:c r="F17" s="40" t="str">
        <x:v>확인 필요</x:v>
      </x:c>
      <x:c r="G17" s="40" t="str">
        <x:v>계약·실가동·품질체계</x:v>
      </x:c>
      <x:c r="H17" s="40" t="str">
        <x:v>사용자 제공</x:v>
      </x:c>
    </x:row>
    <x:row r="18" ht="15" hidden="0" customHeight="1">
      <x:c r="A18" s="41" t="str">
        <x:v>지에프퍼멘텍</x:v>
      </x:c>
      <x:c r="B18" s="107" t="n">
        <x:v>200</x:v>
      </x:c>
      <x:c r="C18" s="41" t="str">
        <x:v>톤/월</x:v>
      </x:c>
      <x:c r="D18" s="41" t="str">
        <x:v>배양액 생산</x:v>
      </x:c>
      <x:c r="E18" s="41" t="str">
        <x:v>확인 필요</x:v>
      </x:c>
      <x:c r="F18" s="41" t="str">
        <x:v>확인 필요</x:v>
      </x:c>
      <x:c r="G18" s="41" t="str">
        <x:v>계약·실가동·품질체계</x:v>
      </x:c>
      <x:c r="H18" s="41" t="str">
        <x:v>사용자 제공</x:v>
      </x:c>
    </x:row>
    <x:row r="19"/>
    <x:row r="20">
      <x:c r="A20" s="110" t="str">
        <x:f>"사용자 제공 CAPA 합계: 배양액 월 "&amp;TEXT(SUM(B17:B18),"#,##0")&amp;"톤 → 이론상 가바크루드 월 "&amp;TEXT(SUM(B17:B18),"#,##0")&amp;"톤 · 필요 말토덱스트린 월 "&amp;TEXT(SUM(B17:B18)*70%,"#,##0")&amp;"톤 · 계약·실가동·공정수율 확인 후 공급계획 반영"</x:f>
        <x:v>사용자 제공 CAPA 합계: 배양액 월 220톤 → 이론상 가바크루드 월 220톤 · 필요 말토덱스트린 월 154톤 · 계약·실가동·공정수율 확인 후 공급계획 반영</x:v>
      </x:c>
      <x:c r="B20" s="110"/>
      <x:c r="C20" s="110"/>
      <x:c r="D20" s="110"/>
      <x:c r="E20" s="110"/>
      <x:c r="F20" s="110"/>
      <x:c r="G20" s="110"/>
      <x:c r="H20" s="110"/>
    </x:row>
    <x:row r="21">
      <x:c r="A21" s="110"/>
      <x:c r="B21" s="110"/>
      <x:c r="C21" s="110"/>
      <x:c r="D21" s="110"/>
      <x:c r="E21" s="110"/>
      <x:c r="F21" s="110"/>
      <x:c r="G21" s="110"/>
      <x:c r="H21" s="110"/>
    </x:row>
  </x:sheetData>
  <x:mergeCells>
    <x:mergeCell ref="A1:H1"/>
    <x:mergeCell ref="A2:H2"/>
    <x:mergeCell ref="A4:H4"/>
    <x:mergeCell ref="A9:H9"/>
    <x:mergeCell ref="A15:H15"/>
    <x:mergeCell ref="A20:H21"/>
  </x:mergeCells>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13" hidden="0" customWidth="1"/>
    <x:col min="2" max="2" width="24" hidden="0" customWidth="1"/>
    <x:col min="3" max="3" width="38" hidden="0" customWidth="1"/>
    <x:col min="4" max="4" width="34" hidden="0" customWidth="1"/>
    <x:col min="5" max="5" width="13" hidden="0" customWidth="1"/>
    <x:col min="6" max="6" width="22" hidden="0" customWidth="1"/>
    <x:col min="7" max="7" width="22" hidden="0" customWidth="1"/>
    <x:col min="8" max="8" width="30" hidden="0" customWidth="1"/>
  </x:cols>
  <x:sheetData>
    <x:row r="1" ht="24" hidden="0" customHeight="1">
      <x:c r="A1" s="3" t="str">
        <x:v>07 · GABA CARE MIX VALIDATION</x:v>
      </x:c>
      <x:c r="B1" s="3" t="str">
        <x:v>07 · GABA CARE MIX VALIDATION</x:v>
      </x:c>
      <x:c r="C1" s="3" t="str">
        <x:v>07 · GABA CARE MIX VALIDATION</x:v>
      </x:c>
      <x:c r="D1" s="3" t="str">
        <x:v>07 · GABA CARE MIX VALIDATION</x:v>
      </x:c>
      <x:c r="E1" s="3" t="str">
        <x:v>07 · GABA CARE MIX VALIDATION</x:v>
      </x:c>
      <x:c r="F1" s="3" t="str">
        <x:v>07 · GABA CARE MIX VALIDATION</x:v>
      </x:c>
      <x:c r="G1" s="3" t="str">
        <x:v>07 · GABA CARE MIX VALIDATION</x:v>
      </x:c>
      <x:c r="H1" s="3" t="str">
        <x:v>07 · GABA CARE MIX VALIDATION</x:v>
      </x:c>
    </x:row>
    <x:row r="2" ht="15" hidden="0" customHeight="1">
      <x:c r="A2" s="6" t="str">
        <x:v>30일 공통 준비 · 축종별 35~168일 이상 본시험 · 생산주기 종료 후 최종 판정</x:v>
      </x:c>
      <x:c r="B2" s="6" t="str">
        <x:v>30일 공통 준비 · 축종별 35~168일 이상 본시험 · 생산주기 종료 후 최종 판정</x:v>
      </x:c>
      <x:c r="C2" s="6" t="str">
        <x:v>30일 공통 준비 · 축종별 35~168일 이상 본시험 · 생산주기 종료 후 최종 판정</x:v>
      </x:c>
      <x:c r="D2" s="6" t="str">
        <x:v>30일 공통 준비 · 축종별 35~168일 이상 본시험 · 생산주기 종료 후 최종 판정</x:v>
      </x:c>
      <x:c r="E2" s="6" t="str">
        <x:v>30일 공통 준비 · 축종별 35~168일 이상 본시험 · 생산주기 종료 후 최종 판정</x:v>
      </x:c>
      <x:c r="F2" s="6" t="str">
        <x:v>30일 공통 준비 · 축종별 35~168일 이상 본시험 · 생산주기 종료 후 최종 판정</x:v>
      </x:c>
      <x:c r="G2" s="6" t="str">
        <x:v>30일 공통 준비 · 축종별 35~168일 이상 본시험 · 생산주기 종료 후 최종 판정</x:v>
      </x:c>
      <x:c r="H2" s="6" t="str">
        <x:v>30일 공통 준비 · 축종별 35~168일 이상 본시험 · 생산주기 종료 후 최종 판정</x:v>
      </x:c>
    </x:row>
    <x:row r="3"/>
    <x:row r="4">
      <x:c r="A4" s="113" t="str">
        <x:v>목표: 가바케어믹스를 주요 가축의 생산성과 축산물 품질을 검증하는 브랜드 배합사료로 고도화</x:v>
      </x:c>
      <x:c r="B4" s="113" t="str">
        <x:v>목표: 가바케어믹스를 주요 가축의 생산성과 축산물 품질을 검증하는 브랜드 배합사료로 고도화</x:v>
      </x:c>
      <x:c r="C4" s="113" t="str">
        <x:v>목표: 가바케어믹스를 주요 가축의 생산성과 축산물 품질을 검증하는 브랜드 배합사료로 고도화</x:v>
      </x:c>
      <x:c r="D4" s="113" t="str">
        <x:v>목표: 가바케어믹스를 주요 가축의 생산성과 축산물 품질을 검증하는 브랜드 배합사료로 고도화</x:v>
      </x:c>
      <x:c r="E4" s="113" t="str">
        <x:v>목표: 가바케어믹스를 주요 가축의 생산성과 축산물 품질을 검증하는 브랜드 배합사료로 고도화</x:v>
      </x:c>
      <x:c r="F4" s="113" t="str">
        <x:v>목표: 가바케어믹스를 주요 가축의 생산성과 축산물 품질을 검증하는 브랜드 배합사료로 고도화</x:v>
      </x:c>
      <x:c r="G4" s="113" t="str">
        <x:v>목표: 가바케어믹스를 주요 가축의 생산성과 축산물 품질을 검증하는 브랜드 배합사료로 고도화</x:v>
      </x:c>
      <x:c r="H4" s="117" t="str">
        <x:v>검증 범위
6개 축종군</x:v>
      </x:c>
    </x:row>
    <x:row r="5">
      <x:c r="A5" s="113" t="str">
        <x:v>목표: 가바케어믹스를 주요 가축의 생산성과 축산물 품질을 검증하는 브랜드 배합사료로 고도화</x:v>
      </x:c>
      <x:c r="B5" s="113" t="str">
        <x:v>목표: 가바케어믹스를 주요 가축의 생산성과 축산물 품질을 검증하는 브랜드 배합사료로 고도화</x:v>
      </x:c>
      <x:c r="C5" s="113" t="str">
        <x:v>목표: 가바케어믹스를 주요 가축의 생산성과 축산물 품질을 검증하는 브랜드 배합사료로 고도화</x:v>
      </x:c>
      <x:c r="D5" s="113" t="str">
        <x:v>목표: 가바케어믹스를 주요 가축의 생산성과 축산물 품질을 검증하는 브랜드 배합사료로 고도화</x:v>
      </x:c>
      <x:c r="E5" s="113" t="str">
        <x:v>목표: 가바케어믹스를 주요 가축의 생산성과 축산물 품질을 검증하는 브랜드 배합사료로 고도화</x:v>
      </x:c>
      <x:c r="F5" s="113" t="str">
        <x:v>목표: 가바케어믹스를 주요 가축의 생산성과 축산물 품질을 검증하는 브랜드 배합사료로 고도화</x:v>
      </x:c>
      <x:c r="G5" s="113" t="str">
        <x:v>목표: 가바케어믹스를 주요 가축의 생산성과 축산물 품질을 검증하는 브랜드 배합사료로 고도화</x:v>
      </x:c>
      <x:c r="H5" s="117" t="str">
        <x:v>검증 범위
6개 축종군</x:v>
      </x:c>
    </x:row>
    <x:row r="6"/>
    <x:row r="7" ht="15" hidden="0" customHeight="1">
      <x:c r="A7" s="46" t="str">
        <x:v>검증 시간표</x:v>
      </x:c>
      <x:c r="B7" s="46" t="str">
        <x:v>검증 시간표</x:v>
      </x:c>
      <x:c r="C7" s="46" t="str">
        <x:v>검증 시간표</x:v>
      </x:c>
      <x:c r="D7" s="46" t="str">
        <x:v>검증 시간표</x:v>
      </x:c>
      <x:c r="E7" s="46" t="str">
        <x:v>검증 시간표</x:v>
      </x:c>
      <x:c r="F7" s="46" t="str">
        <x:v>검증 시간표</x:v>
      </x:c>
      <x:c r="G7" s="46" t="str">
        <x:v>검증 시간표</x:v>
      </x:c>
      <x:c r="H7" s="46" t="str">
        <x:v>검증 시간표</x:v>
      </x:c>
    </x:row>
    <x:row r="8" ht="15" hidden="0" customHeight="1">
      <x:c r="A8" s="31" t="str">
        <x:v>판정 시점</x:v>
      </x:c>
      <x:c r="B8" s="32" t="str">
        <x:v>검증 주제</x:v>
      </x:c>
      <x:c r="C8" s="32" t="str">
        <x:v>주요 지표</x:v>
      </x:c>
      <x:c r="D8" s="32" t="str">
        <x:v>완료 조건</x:v>
      </x:c>
      <x:c r="E8" s="32" t="str">
        <x:v>상태</x:v>
      </x:c>
      <x:c r="F8" s="32" t="str">
        <x:v>책임</x:v>
      </x:c>
      <x:c r="G8" s="32" t="str">
        <x:v>증빙</x:v>
      </x:c>
      <x:c r="H8" s="33" t="str">
        <x:v>주의</x:v>
      </x:c>
    </x:row>
    <x:row r="9" ht="15" hidden="0" customHeight="1">
      <x:c r="A9" s="120" t="str">
        <x:v>30일</x:v>
      </x:c>
      <x:c r="B9" s="40" t="str">
        <x:v>공통 착수 준비</x:v>
      </x:c>
      <x:c r="C9" s="40" t="str">
        <x:v>규격·시험생산·실제 원가·유료 시험</x:v>
      </x:c>
      <x:c r="D9" s="40" t="str">
        <x:v>우선 축종 시험 계약·발주서·시험계획서</x:v>
      </x:c>
      <x:c r="E9" s="40" t="str">
        <x:v>착수 전</x:v>
      </x:c>
      <x:c r="F9" s="40" t="str">
        <x:v>PM·R&amp;D·Sales</x:v>
      </x:c>
      <x:c r="G9" s="40" t="str">
        <x:v>규격서·성적서·계약서</x:v>
      </x:c>
      <x:c r="H9" s="40" t="str">
        <x:v>효능 확정 시점이 아님</x:v>
      </x:c>
    </x:row>
    <x:row r="10" ht="15" hidden="0" customHeight="1">
      <x:c r="A10" s="121" t="str">
        <x:v>35~168일 이상</x:v>
      </x:c>
      <x:c r="B10" s="49" t="str">
        <x:v>축종별 장기 효능시험</x:v>
      </x:c>
      <x:c r="C10" s="49" t="str">
        <x:v>증체·산유·산란·사료효율·안전성</x:v>
      </x:c>
      <x:c r="D10" s="49" t="str">
        <x:v>축종별 최소기간과 대조군을 지킨 기록</x:v>
      </x:c>
      <x:c r="E10" s="49" t="str">
        <x:v>착수 전</x:v>
      </x:c>
      <x:c r="F10" s="49" t="str">
        <x:v>R&amp;D·시험기관</x:v>
      </x:c>
      <x:c r="G10" s="49" t="str">
        <x:v>개체·군·급여·건강 기록</x:v>
      </x:c>
      <x:c r="H10" s="49" t="str">
        <x:v>축종별 기간은 09 시트 참조</x:v>
      </x:c>
    </x:row>
    <x:row r="11" ht="15" hidden="0" customHeight="1">
      <x:c r="A11" s="122" t="str">
        <x:v>생산주기 종료</x:v>
      </x:c>
      <x:c r="B11" s="41" t="str">
        <x:v>최종 성과 평가</x:v>
      </x:c>
      <x:c r="C11" s="41" t="str">
        <x:v>도체·육질·우유·계란 품질과 경제성</x:v>
      </x:c>
      <x:c r="D11" s="41" t="str">
        <x:v>개체·군 식별이 연결된 최종 성과</x:v>
      </x:c>
      <x:c r="E11" s="41" t="str">
        <x:v>착수 전</x:v>
      </x:c>
      <x:c r="F11" s="41" t="str">
        <x:v>R&amp;D·시험기관</x:v>
      </x:c>
      <x:c r="G11" s="41" t="str">
        <x:v>도축·우유·계란 성적</x:v>
      </x:c>
      <x:c r="H11" s="41" t="str">
        <x:v>사전 최소효과로 판정</x:v>
      </x:c>
    </x:row>
    <x:row r="12"/>
    <x:row r="13" ht="15" hidden="0" customHeight="1">
      <x:c r="A13" s="34" t="str">
        <x:v>신속 검증 실행 단계</x:v>
      </x:c>
      <x:c r="B13" s="34" t="str">
        <x:v>신속 검증 실행 단계</x:v>
      </x:c>
      <x:c r="C13" s="34" t="str">
        <x:v>신속 검증 실행 단계</x:v>
      </x:c>
      <x:c r="D13" s="34" t="str">
        <x:v>신속 검증 실행 단계</x:v>
      </x:c>
      <x:c r="E13" s="34" t="str">
        <x:v>신속 검증 실행 단계</x:v>
      </x:c>
      <x:c r="F13" s="34" t="str">
        <x:v>신속 검증 실행 단계</x:v>
      </x:c>
      <x:c r="G13" s="34" t="str">
        <x:v>신속 검증 실행 단계</x:v>
      </x:c>
      <x:c r="H13" s="34" t="str">
        <x:v>신속 검증 실행 단계</x:v>
      </x:c>
    </x:row>
    <x:row r="14" ht="15" hidden="0" customHeight="1">
      <x:c r="A14" s="31" t="str">
        <x:v>기간</x:v>
      </x:c>
      <x:c r="B14" s="32" t="str">
        <x:v>핵심 과업</x:v>
      </x:c>
      <x:c r="C14" s="32" t="str">
        <x:v>필수 산출물</x:v>
      </x:c>
      <x:c r="D14" s="32" t="str">
        <x:v>다음 결정</x:v>
      </x:c>
      <x:c r="E14" s="32" t="str">
        <x:v>상태</x:v>
      </x:c>
      <x:c r="F14" s="32" t="str">
        <x:v>책임</x:v>
      </x:c>
      <x:c r="G14" s="32" t="str">
        <x:v>목표일</x:v>
      </x:c>
      <x:c r="H14" s="33" t="str">
        <x:v>확인 메모</x:v>
      </x:c>
    </x:row>
    <x:row r="15" ht="15" hidden="0" customHeight="1">
      <x:c r="A15" s="123" t="str">
        <x:v>0~7일</x:v>
      </x:c>
      <x:c r="B15" s="40" t="str">
        <x:v>규격·축종별 시험계획 확정</x:v>
      </x:c>
      <x:c r="C15" s="40" t="str">
        <x:v>제품 규격서·품목/표시 검토·6개 축종군 대조군 계획</x:v>
      </x:c>
      <x:c r="D15" s="40" t="str">
        <x:v>시험생산 승인</x:v>
      </x:c>
      <x:c r="E15" s="40" t="str">
        <x:v>착수 전</x:v>
      </x:c>
      <x:c r="F15" s="40" t="str">
        <x:v>PM·Reg·R&amp;D</x:v>
      </x:c>
      <x:c r="G15" s="66" t="n">
        <x:v>46244</x:v>
      </x:c>
      <x:c r="H15" s="40" t="str"/>
    </x:row>
    <x:row r="16" ht="15" hidden="0" customHeight="1">
      <x:c r="A16" s="124" t="str">
        <x:v>8~21일</x:v>
      </x:c>
      <x:c r="B16" s="49" t="str">
        <x:v>시험생산·원가 확인</x:v>
      </x:c>
      <x:c r="C16" s="49" t="str">
        <x:v>시험생산 1회·3지점 시료·실제 견적</x:v>
      </x:c>
      <x:c r="D16" s="49" t="str">
        <x:v>유료 실증 출고 승인</x:v>
      </x:c>
      <x:c r="E16" s="49" t="str">
        <x:v>착수 전</x:v>
      </x:c>
      <x:c r="F16" s="49" t="str">
        <x:v>R&amp;D·QA·Finance</x:v>
      </x:c>
      <x:c r="G16" s="67" t="n">
        <x:v>46258</x:v>
      </x:c>
      <x:c r="H16" s="49" t="str"/>
    </x:row>
    <x:row r="17" ht="15" hidden="0" customHeight="1">
      <x:c r="A17" s="124" t="str">
        <x:v>22~30일</x:v>
      </x:c>
      <x:c r="B17" s="49" t="str">
        <x:v>유료 연구·농장 실증 착수</x:v>
      </x:c>
      <x:c r="C17" s="49" t="str">
        <x:v>우선 축종 계약·발주서·기초 생산성 자료</x:v>
      </x:c>
      <x:c r="D17" s="49" t="str">
        <x:v>축종별 본시험 진행</x:v>
      </x:c>
      <x:c r="E17" s="49" t="str">
        <x:v>착수 전</x:v>
      </x:c>
      <x:c r="F17" s="49" t="str">
        <x:v>Sales·R&amp;D</x:v>
      </x:c>
      <x:c r="G17" s="67" t="n">
        <x:v>46267</x:v>
      </x:c>
      <x:c r="H17" s="49" t="str"/>
    </x:row>
    <x:row r="18" ht="15" hidden="0" customHeight="1">
      <x:c r="A18" s="124" t="str">
        <x:v>35~168일 이상</x:v>
      </x:c>
      <x:c r="B18" s="49" t="str">
        <x:v>축종별 장기 효능시험</x:v>
      </x:c>
      <x:c r="C18" s="49" t="str">
        <x:v>생산성·사료효율·안전성·경제성 비교</x:v>
      </x:c>
      <x:c r="D18" s="49" t="str">
        <x:v>축종별 계속·중단·보정</x:v>
      </x:c>
      <x:c r="E18" s="49" t="str">
        <x:v>착수 전</x:v>
      </x:c>
      <x:c r="F18" s="49" t="str">
        <x:v>R&amp;D·시험기관</x:v>
      </x:c>
      <x:c r="G18" s="67" t="str">
        <x:v>축종별 연동</x:v>
      </x:c>
      <x:c r="H18" s="49" t="str"/>
    </x:row>
    <x:row r="19" ht="15" hidden="0" customHeight="1">
      <x:c r="A19" s="125" t="str">
        <x:v>생산주기 종료</x:v>
      </x:c>
      <x:c r="B19" s="41" t="str">
        <x:v>품질·경제성 최종 판단</x:v>
      </x:c>
      <x:c r="C19" s="41" t="str">
        <x:v>도체·우유·계란 성적·반복 주문 판단</x:v>
      </x:c>
      <x:c r="D19" s="41" t="str">
        <x:v>축종별 브랜드 적용 여부</x:v>
      </x:c>
      <x:c r="E19" s="41" t="str">
        <x:v>착수 전</x:v>
      </x:c>
      <x:c r="F19" s="41" t="str">
        <x:v>PM·R&amp;D·Sales</x:v>
      </x:c>
      <x:c r="G19" s="41" t="str">
        <x:v>생산주기 연동</x:v>
      </x:c>
      <x:c r="H19" s="41" t="str"/>
    </x:row>
    <x:row r="20"/>
    <x:row r="21" ht="15" hidden="0" customHeight="1">
      <x:c r="A21" s="82" t="str">
        <x:v>완료 단계</x:v>
      </x:c>
      <x:c r="B21" s="82" t="str">
        <x:v>완료 단계</x:v>
      </x:c>
      <x:c r="C21" s="82" t="n">
        <x:f>COUNTIF(E15:E19,"완료")</x:f>
        <x:v>0</x:v>
      </x:c>
      <x:c r="D21" s="82"/>
      <x:c r="E21" s="82" t="str">
        <x:v>전체 진척률</x:v>
      </x:c>
      <x:c r="F21" s="82" t="str">
        <x:v>전체 진척률</x:v>
      </x:c>
      <x:c r="G21" s="126" t="n">
        <x:f>C21/5</x:f>
        <x:v>0</x:v>
      </x:c>
      <x:c r="H21" s="126"/>
    </x:row>
    <x:row r="22"/>
    <x:row r="23" ht="15" hidden="0" customHeight="1">
      <x:c r="A23" s="46" t="str">
        <x:v>KPI와 판정 기준</x:v>
      </x:c>
      <x:c r="B23" s="46" t="str">
        <x:v>KPI와 판정 기준</x:v>
      </x:c>
      <x:c r="C23" s="46" t="str">
        <x:v>KPI와 판정 기준</x:v>
      </x:c>
      <x:c r="D23" s="46" t="str">
        <x:v>KPI와 판정 기준</x:v>
      </x:c>
      <x:c r="E23" s="46" t="str">
        <x:v>KPI와 판정 기준</x:v>
      </x:c>
      <x:c r="F23" s="46" t="str">
        <x:v>KPI와 판정 기준</x:v>
      </x:c>
      <x:c r="G23" s="46" t="str">
        <x:v>KPI와 판정 기준</x:v>
      </x:c>
      <x:c r="H23" s="46" t="str">
        <x:v>KPI와 판정 기준</x:v>
      </x:c>
    </x:row>
    <x:row r="24" ht="15" hidden="0" customHeight="1">
      <x:c r="A24" s="31" t="str">
        <x:v>구분</x:v>
      </x:c>
      <x:c r="B24" s="32" t="str">
        <x:v>KPI</x:v>
      </x:c>
      <x:c r="C24" s="32" t="str">
        <x:v>측정 항목</x:v>
      </x:c>
      <x:c r="D24" s="32" t="str">
        <x:v>판정 기준</x:v>
      </x:c>
      <x:c r="E24" s="32" t="str">
        <x:v>시점</x:v>
      </x:c>
      <x:c r="F24" s="32" t="str">
        <x:v>증빙</x:v>
      </x:c>
      <x:c r="G24" s="32" t="str">
        <x:v>현재 상태</x:v>
      </x:c>
      <x:c r="H24" s="33" t="str">
        <x:v>주의</x:v>
      </x:c>
    </x:row>
    <x:row r="25" ht="15" hidden="0" customHeight="1">
      <x:c r="A25" s="40" t="str">
        <x:v>핵심 성과</x:v>
      </x:c>
      <x:c r="B25" s="40" t="str">
        <x:v>축산물 품질</x:v>
      </x:c>
      <x:c r="C25" s="40" t="str">
        <x:v>도체·육질, 유량·유성분, 산란율·난질</x:v>
      </x:c>
      <x:c r="D25" s="40" t="str">
        <x:v>대조군과 비교해 사전 최소효과 충족</x:v>
      </x:c>
      <x:c r="E25" s="40" t="str">
        <x:v>생산주기 종료</x:v>
      </x:c>
      <x:c r="F25" s="40" t="str">
        <x:v>개체·군 연결 최종 성적</x:v>
      </x:c>
      <x:c r="G25" s="40" t="str">
        <x:v>착수 전</x:v>
      </x:c>
      <x:c r="H25" s="40" t="str">
        <x:v>효과를 미리 단정하지 않음</x:v>
      </x:c>
    </x:row>
    <x:row r="26" ht="24" hidden="0" customHeight="1">
      <x:c r="A26" s="49" t="str">
        <x:v>핵심 성과</x:v>
      </x:c>
      <x:c r="B26" s="49" t="str">
        <x:v>생산성</x:v>
      </x:c>
      <x:c r="C26" s="49" t="str">
        <x:v>증체·산유·산란 성적, 사료효율, 단위 생산량당 사료비</x:v>
      </x:c>
      <x:c r="D26" s="49" t="str">
        <x:v>대조군 대비 경제적 개선 확인</x:v>
      </x:c>
      <x:c r="E26" s="49" t="str">
        <x:v>축종별 본시험·종료</x:v>
      </x:c>
      <x:c r="F26" s="49" t="str">
        <x:v>생산성·급여량·사료비 기록</x:v>
      </x:c>
      <x:c r="G26" s="49" t="str">
        <x:v>착수 전</x:v>
      </x:c>
      <x:c r="H26" s="49" t="str">
        <x:v>질병·계절·사육조건 기록</x:v>
      </x:c>
    </x:row>
    <x:row r="27" ht="15" hidden="0" customHeight="1">
      <x:c r="A27" s="49" t="str">
        <x:v>사업 성과</x:v>
      </x:c>
      <x:c r="B27" s="49" t="str">
        <x:v>유료 실증</x:v>
      </x:c>
      <x:c r="C27" s="49" t="str">
        <x:v>연구기관·농장 계약·발주서</x:v>
      </x:c>
      <x:c r="D27" s="49" t="str">
        <x:v>30일 안에 우선 축종 유료 시험 1건</x:v>
      </x:c>
      <x:c r="E27" s="49" t="str">
        <x:v>22~30일</x:v>
      </x:c>
      <x:c r="F27" s="49" t="str">
        <x:v>계약서·발주서·시험계획서</x:v>
      </x:c>
      <x:c r="G27" s="49" t="str">
        <x:v>착수 전</x:v>
      </x:c>
      <x:c r="H27" s="49" t="str">
        <x:v>무상 샘플은 제외</x:v>
      </x:c>
    </x:row>
    <x:row r="28" ht="15" hidden="0" customHeight="1">
      <x:c r="A28" s="41" t="str">
        <x:v>품질 기준</x:v>
      </x:c>
      <x:c r="B28" s="41" t="str">
        <x:v>제품 재현성</x:v>
      </x:c>
      <x:c r="C28" s="41" t="str">
        <x:v>활성함량·균일도·안정성·CoA</x:v>
      </x:c>
      <x:c r="D28" s="41" t="str">
        <x:v>시험생산 1회와 3지점 시료가 사전 규격 충족</x:v>
      </x:c>
      <x:c r="E28" s="41" t="str">
        <x:v>8~21일</x:v>
      </x:c>
      <x:c r="F28" s="41" t="str">
        <x:v>시험성적서·생산기록</x:v>
      </x:c>
      <x:c r="G28" s="41" t="str">
        <x:v>착수 전</x:v>
      </x:c>
      <x:c r="H28" s="41" t="str">
        <x:v>규격 미달 시 출고 보류</x:v>
      </x:c>
    </x:row>
    <x:row r="29"/>
    <x:row r="30" ht="15" hidden="0" customHeight="1">
      <x:c r="A30" s="128" t="str">
        <x:v>중단·보류 기준</x:v>
      </x:c>
      <x:c r="B30" s="128" t="str">
        <x:v>중단·보류 기준</x:v>
      </x:c>
      <x:c r="C30" s="128" t="str">
        <x:v>중단·보류 기준</x:v>
      </x:c>
      <x:c r="D30" s="128" t="str">
        <x:v>중단·보류 기준</x:v>
      </x:c>
      <x:c r="E30" s="128" t="str">
        <x:v>중단·보류 기준</x:v>
      </x:c>
      <x:c r="F30" s="128" t="str">
        <x:v>중단·보류 기준</x:v>
      </x:c>
      <x:c r="G30" s="128" t="str">
        <x:v>중단·보류 기준</x:v>
      </x:c>
      <x:c r="H30" s="128" t="str">
        <x:v>중단·보류 기준</x:v>
      </x:c>
    </x:row>
    <x:row r="31" ht="15" hidden="0" customHeight="1">
      <x:c r="A31" s="131" t="str">
        <x:v>• 질병·폐사·이상반응이 대조군보다 증가하면 원인을 검토하고 급여를 중단합니다.</x:v>
      </x:c>
      <x:c r="B31" s="131" t="str">
        <x:v>• 질병·폐사·이상반응이 대조군보다 증가하면 원인을 검토하고 급여를 중단합니다.</x:v>
      </x:c>
      <x:c r="C31" s="131" t="str">
        <x:v>• 질병·폐사·이상반응이 대조군보다 증가하면 원인을 검토하고 급여를 중단합니다.</x:v>
      </x:c>
      <x:c r="D31" s="131" t="str">
        <x:v>• 질병·폐사·이상반응이 대조군보다 증가하면 원인을 검토하고 급여를 중단합니다.</x:v>
      </x:c>
      <x:c r="E31" s="131" t="str">
        <x:v>• 질병·폐사·이상반응이 대조군보다 증가하면 원인을 검토하고 급여를 중단합니다.</x:v>
      </x:c>
      <x:c r="F31" s="131" t="str">
        <x:v>• 질병·폐사·이상반응이 대조군보다 증가하면 원인을 검토하고 급여를 중단합니다.</x:v>
      </x:c>
      <x:c r="G31" s="131" t="str">
        <x:v>• 질병·폐사·이상반응이 대조군보다 증가하면 원인을 검토하고 급여를 중단합니다.</x:v>
      </x:c>
      <x:c r="H31" s="131" t="str">
        <x:v>• 질병·폐사·이상반응이 대조군보다 증가하면 원인을 검토하고 급여를 중단합니다.</x:v>
      </x:c>
    </x:row>
    <x:row r="32" ht="15" hidden="0" customHeight="1">
      <x:c r="A32" s="131" t="str">
        <x:v>• 사료섭취량이 지속해서 감소하면 배합과 기호성을 먼저 확인합니다.</x:v>
      </x:c>
      <x:c r="B32" s="131" t="str">
        <x:v>• 사료섭취량이 지속해서 감소하면 배합과 기호성을 먼저 확인합니다.</x:v>
      </x:c>
      <x:c r="C32" s="131" t="str">
        <x:v>• 사료섭취량이 지속해서 감소하면 배합과 기호성을 먼저 확인합니다.</x:v>
      </x:c>
      <x:c r="D32" s="131" t="str">
        <x:v>• 사료섭취량이 지속해서 감소하면 배합과 기호성을 먼저 확인합니다.</x:v>
      </x:c>
      <x:c r="E32" s="131" t="str">
        <x:v>• 사료섭취량이 지속해서 감소하면 배합과 기호성을 먼저 확인합니다.</x:v>
      </x:c>
      <x:c r="F32" s="131" t="str">
        <x:v>• 사료섭취량이 지속해서 감소하면 배합과 기호성을 먼저 확인합니다.</x:v>
      </x:c>
      <x:c r="G32" s="131" t="str">
        <x:v>• 사료섭취량이 지속해서 감소하면 배합과 기호성을 먼저 확인합니다.</x:v>
      </x:c>
      <x:c r="H32" s="131" t="str">
        <x:v>• 사료섭취량이 지속해서 감소하면 배합과 기호성을 먼저 확인합니다.</x:v>
      </x:c>
    </x:row>
    <x:row r="33" ht="15" hidden="0" customHeight="1">
      <x:c r="A33" s="131" t="str">
        <x:v>• 단위 생산량당 사료비가 개선되지 않으면 해당 축종의 사업 확대를 보류합니다.</x:v>
      </x:c>
      <x:c r="B33" s="131" t="str">
        <x:v>• 단위 생산량당 사료비가 개선되지 않으면 해당 축종의 사업 확대를 보류합니다.</x:v>
      </x:c>
      <x:c r="C33" s="131" t="str">
        <x:v>• 단위 생산량당 사료비가 개선되지 않으면 해당 축종의 사업 확대를 보류합니다.</x:v>
      </x:c>
      <x:c r="D33" s="131" t="str">
        <x:v>• 단위 생산량당 사료비가 개선되지 않으면 해당 축종의 사업 확대를 보류합니다.</x:v>
      </x:c>
      <x:c r="E33" s="131" t="str">
        <x:v>• 단위 생산량당 사료비가 개선되지 않으면 해당 축종의 사업 확대를 보류합니다.</x:v>
      </x:c>
      <x:c r="F33" s="131" t="str">
        <x:v>• 단위 생산량당 사료비가 개선되지 않으면 해당 축종의 사업 확대를 보류합니다.</x:v>
      </x:c>
      <x:c r="G33" s="131" t="str">
        <x:v>• 단위 생산량당 사료비가 개선되지 않으면 해당 축종의 사업 확대를 보류합니다.</x:v>
      </x:c>
      <x:c r="H33" s="131" t="str">
        <x:v>• 단위 생산량당 사료비가 개선되지 않으면 해당 축종의 사업 확대를 보류합니다.</x:v>
      </x:c>
    </x:row>
    <x:row r="34" ht="15" hidden="0" customHeight="1">
      <x:c r="A34" s="131" t="str">
        <x:v>• 품목 분류와 표시 문구를 확인하기 전에는 축산물 품질이나 생산성 향상을 확정적으로 홍보하지 않습니다.</x:v>
      </x:c>
      <x:c r="B34" s="131" t="str">
        <x:v>• 품목 분류와 표시 문구를 확인하기 전에는 축산물 품질이나 생산성 향상을 확정적으로 홍보하지 않습니다.</x:v>
      </x:c>
      <x:c r="C34" s="131" t="str">
        <x:v>• 품목 분류와 표시 문구를 확인하기 전에는 축산물 품질이나 생산성 향상을 확정적으로 홍보하지 않습니다.</x:v>
      </x:c>
      <x:c r="D34" s="131" t="str">
        <x:v>• 품목 분류와 표시 문구를 확인하기 전에는 축산물 품질이나 생산성 향상을 확정적으로 홍보하지 않습니다.</x:v>
      </x:c>
      <x:c r="E34" s="131" t="str">
        <x:v>• 품목 분류와 표시 문구를 확인하기 전에는 축산물 품질이나 생산성 향상을 확정적으로 홍보하지 않습니다.</x:v>
      </x:c>
      <x:c r="F34" s="131" t="str">
        <x:v>• 품목 분류와 표시 문구를 확인하기 전에는 축산물 품질이나 생산성 향상을 확정적으로 홍보하지 않습니다.</x:v>
      </x:c>
      <x:c r="G34" s="131" t="str">
        <x:v>• 품목 분류와 표시 문구를 확인하기 전에는 축산물 품질이나 생산성 향상을 확정적으로 홍보하지 않습니다.</x:v>
      </x:c>
      <x:c r="H34" s="131" t="str">
        <x:v>• 품목 분류와 표시 문구를 확인하기 전에는 축산물 품질이나 생산성 향상을 확정적으로 홍보하지 않습니다.</x:v>
      </x:c>
    </x:row>
  </x:sheetData>
  <x:mergeCells>
    <x:mergeCell ref="A1:H1"/>
    <x:mergeCell ref="A2:H2"/>
    <x:mergeCell ref="A4:G5"/>
    <x:mergeCell ref="H4:H5"/>
    <x:mergeCell ref="A7:H7"/>
    <x:mergeCell ref="A13:H13"/>
    <x:mergeCell ref="A21:B21"/>
    <x:mergeCell ref="C21:D21"/>
    <x:mergeCell ref="E21:F21"/>
    <x:mergeCell ref="G21:H21"/>
    <x:mergeCell ref="A23:H23"/>
    <x:mergeCell ref="A30:H30"/>
    <x:mergeCell ref="A31:H31"/>
    <x:mergeCell ref="A32:H32"/>
    <x:mergeCell ref="A33:H33"/>
    <x:mergeCell ref="A34:H34"/>
  </x:mergeCells>
  <x:dataValidations count="3">
    <x:dataValidation type="list" sqref="E9:E11">
      <x:formula1>"착수 전,진행 중,완료,중단"</x:formula1>
    </x:dataValidation>
    <x:dataValidation type="list" sqref="E15:E19">
      <x:formula1>"착수 전,진행 중,완료,중단"</x:formula1>
    </x:dataValidation>
    <x:dataValidation type="list" sqref="G25:G28">
      <x:formula1>"착수 전,진행 중,완료,중단"</x:formula1>
    </x:dataValidation>
  </x:dataValidations>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17" hidden="0" customWidth="1"/>
    <x:col min="2" max="2" width="21" hidden="0" customWidth="1"/>
    <x:col min="3" max="3" width="25" hidden="0" customWidth="1"/>
    <x:col min="4" max="4" width="34" hidden="0" customWidth="1"/>
    <x:col min="5" max="5" width="34" hidden="0" customWidth="1"/>
    <x:col min="6" max="6" width="34" hidden="0" customWidth="1"/>
    <x:col min="7" max="7" width="24" hidden="0" customWidth="1"/>
    <x:col min="8" max="8" width="15" hidden="0" customWidth="1"/>
  </x:cols>
  <x:sheetData>
    <x:row r="1" ht="24" hidden="0" customHeight="1">
      <x:c r="A1" s="3" t="str">
        <x:v>08 · PROJECT TIMELINE</x:v>
      </x:c>
      <x:c r="B1" s="3" t="str">
        <x:v>08 · PROJECT TIMELINE</x:v>
      </x:c>
      <x:c r="C1" s="3" t="str">
        <x:v>08 · PROJECT TIMELINE</x:v>
      </x:c>
      <x:c r="D1" s="3" t="str">
        <x:v>08 · PROJECT TIMELINE</x:v>
      </x:c>
      <x:c r="E1" s="3" t="str">
        <x:v>08 · PROJECT TIMELINE</x:v>
      </x:c>
      <x:c r="F1" s="3" t="str">
        <x:v>08 · PROJECT TIMELINE</x:v>
      </x:c>
      <x:c r="G1" s="3" t="str">
        <x:v>08 · PROJECT TIMELINE</x:v>
      </x:c>
      <x:c r="H1" s="3" t="str">
        <x:v>08 · PROJECT TIMELINE</x:v>
      </x:c>
    </x:row>
    <x:row r="2" ht="15" hidden="0" customHeight="1">
      <x:c r="A2" s="6" t="str">
        <x:v>2026년 8월 파일럿 생산부터 2028년 하반기 자체 공장 검토까지 단계별 목표와 승인 조건</x:v>
      </x:c>
      <x:c r="B2" s="6" t="str">
        <x:v>2026년 8월 파일럿 생산부터 2028년 하반기 자체 공장 검토까지 단계별 목표와 승인 조건</x:v>
      </x:c>
      <x:c r="C2" s="6" t="str">
        <x:v>2026년 8월 파일럿 생산부터 2028년 하반기 자체 공장 검토까지 단계별 목표와 승인 조건</x:v>
      </x:c>
      <x:c r="D2" s="6" t="str">
        <x:v>2026년 8월 파일럿 생산부터 2028년 하반기 자체 공장 검토까지 단계별 목표와 승인 조건</x:v>
      </x:c>
      <x:c r="E2" s="6" t="str">
        <x:v>2026년 8월 파일럿 생산부터 2028년 하반기 자체 공장 검토까지 단계별 목표와 승인 조건</x:v>
      </x:c>
      <x:c r="F2" s="6" t="str">
        <x:v>2026년 8월 파일럿 생산부터 2028년 하반기 자체 공장 검토까지 단계별 목표와 승인 조건</x:v>
      </x:c>
      <x:c r="G2" s="6" t="str">
        <x:v>2026년 8월 파일럿 생산부터 2028년 하반기 자체 공장 검토까지 단계별 목표와 승인 조건</x:v>
      </x:c>
      <x:c r="H2" s="6" t="str">
        <x:v>2026년 8월 파일럿 생산부터 2028년 하반기 자체 공장 검토까지 단계별 목표와 승인 조건</x:v>
      </x:c>
    </x:row>
    <x:row r="3"/>
    <x:row r="4" ht="15" hidden="0" customHeight="1">
      <x:c r="A4" s="34" t="str">
        <x:v>사업화 일정</x:v>
      </x:c>
      <x:c r="B4" s="34" t="str">
        <x:v>사업화 일정</x:v>
      </x:c>
      <x:c r="C4" s="34" t="str">
        <x:v>사업화 일정</x:v>
      </x:c>
      <x:c r="D4" s="34" t="str">
        <x:v>사업화 일정</x:v>
      </x:c>
      <x:c r="E4" s="34" t="str">
        <x:v>사업화 일정</x:v>
      </x:c>
      <x:c r="F4" s="34" t="str">
        <x:v>사업화 일정</x:v>
      </x:c>
      <x:c r="G4" s="34" t="str">
        <x:v>사업화 일정</x:v>
      </x:c>
      <x:c r="H4" s="34" t="str">
        <x:v>사업화 일정</x:v>
      </x:c>
    </x:row>
    <x:row r="5" ht="15" hidden="0" customHeight="1">
      <x:c r="A5" s="31" t="str">
        <x:v>목표 시점</x:v>
      </x:c>
      <x:c r="B5" s="32" t="str">
        <x:v>단계</x:v>
      </x:c>
      <x:c r="C5" s="32" t="str">
        <x:v>운영 방식</x:v>
      </x:c>
      <x:c r="D5" s="32" t="str">
        <x:v>핵심 목표</x:v>
      </x:c>
      <x:c r="E5" s="32" t="str">
        <x:v>필수 산출물</x:v>
      </x:c>
      <x:c r="F5" s="32" t="str">
        <x:v>다음 단계 승인 조건</x:v>
      </x:c>
      <x:c r="G5" s="32" t="str">
        <x:v>책임</x:v>
      </x:c>
      <x:c r="H5" s="33" t="str">
        <x:v>상태</x:v>
      </x:c>
    </x:row>
    <x:row r="6" ht="24" hidden="0" customHeight="1">
      <x:c r="A6" s="120" t="str">
        <x:v>2026년 8월</x:v>
      </x:c>
      <x:c r="B6" s="40" t="str">
        <x:v>파일럿 생산</x:v>
      </x:c>
      <x:c r="C6" s="40" t="str">
        <x:v>생산 파트너 활용</x:v>
      </x:c>
      <x:c r="D6" s="40" t="str">
        <x:v>시험생산으로 수율·품질·실제 매출원가 확인</x:v>
      </x:c>
      <x:c r="E6" s="40" t="str">
        <x:v>배치기록·3지점 시료·CoA·공정수율·실제 견적</x:v>
      </x:c>
      <x:c r="F6" s="40" t="str">
        <x:v>제품 규격 충족·회수 가능한 QA·고객 시험용 출고 승인</x:v>
      </x:c>
      <x:c r="G6" s="40" t="str">
        <x:v>R&amp;D·QA·SCM</x:v>
      </x:c>
      <x:c r="H6" s="40" t="str">
        <x:v>목표</x:v>
      </x:c>
    </x:row>
    <x:row r="7" ht="24" hidden="0" customHeight="1">
      <x:c r="A7" s="121" t="str">
        <x:v>2027년 상반기</x:v>
      </x:c>
      <x:c r="B7" s="49" t="str">
        <x:v>양산 가동</x:v>
      </x:c>
      <x:c r="C7" s="49" t="str">
        <x:v>외부 생산 기반 상업 생산</x:v>
      </x:c>
      <x:c r="D7" s="49" t="str">
        <x:v>반복 주문에 대응하는 공급·품질 체계 가동</x:v>
      </x:c>
      <x:c r="E7" s="49" t="str">
        <x:v>월별 생산계획·발주서·품질협약·납기·재고 기준</x:v>
      </x:c>
      <x:c r="F7" s="49" t="str">
        <x:v>유료 반복 주문·매출총이익·납기·품질 지표 충족</x:v>
      </x:c>
      <x:c r="G7" s="49" t="str">
        <x:v>PM·Sales·SCM·QA</x:v>
      </x:c>
      <x:c r="H7" s="49" t="str">
        <x:v>목표</x:v>
      </x:c>
    </x:row>
    <x:row r="8" ht="24" hidden="0" customHeight="1">
      <x:c r="A8" s="122" t="str">
        <x:v>2028년 하반기</x:v>
      </x:c>
      <x:c r="B8" s="41" t="str">
        <x:v>자체 공장 설립</x:v>
      </x:c>
      <x:c r="C8" s="41" t="str">
        <x:v>5·10·50톤급 발효조(퍼멘터) 대안 검토</x:v>
      </x:c>
      <x:c r="D8" s="41" t="str">
        <x:v>수요에 맞는 자체 정밀발효·정제 생산 기반 구축</x:v>
      </x:c>
      <x:c r="E8" s="41" t="str">
        <x:v>부지·인허가·CAPEX·OPEX·발효조 구성·공장 QA 설계</x:v>
      </x:c>
      <x:c r="F8" s="41" t="str">
        <x:v>확정 수요·가동률·투자 회수·인허가·자금조달 통과</x:v>
      </x:c>
      <x:c r="G8" s="41" t="str">
        <x:v>경영진·Finance·Engineering</x:v>
      </x:c>
      <x:c r="H8" s="41" t="str">
        <x:v>계획</x:v>
      </x:c>
    </x:row>
    <x:row r="9"/>
    <x:row r="10" ht="15" hidden="0" customHeight="1">
      <x:c r="A10" s="46" t="str">
        <x:v>단계 전환 판정</x:v>
      </x:c>
      <x:c r="B10" s="46" t="str">
        <x:v>단계 전환 판정</x:v>
      </x:c>
      <x:c r="C10" s="46" t="str">
        <x:v>단계 전환 판정</x:v>
      </x:c>
      <x:c r="D10" s="46" t="str">
        <x:v>단계 전환 판정</x:v>
      </x:c>
      <x:c r="E10" s="46" t="str">
        <x:v>단계 전환 판정</x:v>
      </x:c>
      <x:c r="F10" s="46" t="str">
        <x:v>단계 전환 판정</x:v>
      </x:c>
      <x:c r="G10" s="46" t="str">
        <x:v>단계 전환 판정</x:v>
      </x:c>
      <x:c r="H10" s="46" t="str">
        <x:v>단계 전환 판정</x:v>
      </x:c>
    </x:row>
    <x:row r="11" ht="15" hidden="0" customHeight="1">
      <x:c r="A11" s="31" t="str">
        <x:v>전환</x:v>
      </x:c>
      <x:c r="B11" s="32" t="str">
        <x:v>판정 질문</x:v>
      </x:c>
      <x:c r="C11" s="32" t="str">
        <x:v>수요</x:v>
      </x:c>
      <x:c r="D11" s="32" t="str">
        <x:v>품질</x:v>
      </x:c>
      <x:c r="E11" s="32" t="str">
        <x:v>원가·이익</x:v>
      </x:c>
      <x:c r="F11" s="32" t="str">
        <x:v>공급</x:v>
      </x:c>
      <x:c r="G11" s="32" t="str">
        <x:v>투자·인허가</x:v>
      </x:c>
      <x:c r="H11" s="33" t="str">
        <x:v>판정</x:v>
      </x:c>
    </x:row>
    <x:row r="12" ht="24" hidden="0" customHeight="1">
      <x:c r="A12" s="40" t="str">
        <x:v>파일럿→양산</x:v>
      </x:c>
      <x:c r="B12" s="40" t="str">
        <x:v>반복 생산과 유료 주문을 안전하게 감당할 수 있는가?</x:v>
      </x:c>
      <x:c r="C12" s="40" t="str">
        <x:v>유료 농장·발주서</x:v>
      </x:c>
      <x:c r="D12" s="40" t="str">
        <x:v>규격·CoA·안정성</x:v>
      </x:c>
      <x:c r="E12" s="40" t="str">
        <x:v>실제 매출원가·매출총이익</x:v>
      </x:c>
      <x:c r="F12" s="40" t="str">
        <x:v>납기·MOQ·회수</x:v>
      </x:c>
      <x:c r="G12" s="40" t="str">
        <x:v>해당 없음</x:v>
      </x:c>
      <x:c r="H12" s="40" t="str">
        <x:v>미판정</x:v>
      </x:c>
    </x:row>
    <x:row r="13" ht="24" hidden="0" customHeight="1">
      <x:c r="A13" s="49" t="str">
        <x:v>양산→자체 공장</x:v>
      </x:c>
      <x:c r="B13" s="49" t="str">
        <x:v>외부 생산보다 자체 공장이 경제성과 통제력을 높이는가?</x:v>
      </x:c>
      <x:c r="C13" s="49" t="str">
        <x:v>반복 주문·수요 전망</x:v>
      </x:c>
      <x:c r="D13" s="49" t="str">
        <x:v>공정 재현성·QA</x:v>
      </x:c>
      <x:c r="E13" s="49" t="str">
        <x:v>CAPEX·OPEX·투자 회수</x:v>
      </x:c>
      <x:c r="F13" s="49" t="str">
        <x:v>가동률·원료·물류</x:v>
      </x:c>
      <x:c r="G13" s="49" t="str">
        <x:v>부지·허가·자금</x:v>
      </x:c>
      <x:c r="H13" s="49" t="str">
        <x:v>미판정</x:v>
      </x:c>
    </x:row>
    <x:row r="14" ht="24" hidden="0" customHeight="1">
      <x:c r="A14" s="41" t="str">
        <x:v>발효조 규모</x:v>
      </x:c>
      <x:c r="B14" s="41" t="str">
        <x:v>5·10·50톤 중 어떤 구성이 수요 변동과 증설에 맞는가?</x:v>
      </x:c>
      <x:c r="C14" s="41" t="str">
        <x:v>연간 필요 배양량</x:v>
      </x:c>
      <x:c r="D14" s="41" t="str">
        <x:v>배치 일관성</x:v>
      </x:c>
      <x:c r="E14" s="41" t="str">
        <x:v>톤당 제조원가</x:v>
      </x:c>
      <x:c r="F14" s="41" t="str">
        <x:v>정비·병목·예비 용량</x:v>
      </x:c>
      <x:c r="G14" s="41" t="str">
        <x:v>단계 증설안</x:v>
      </x:c>
      <x:c r="H14" s="41" t="str">
        <x:v>미판정</x:v>
      </x:c>
    </x:row>
    <x:row r="15"/>
    <x:row r="16">
      <x:c r="A16" s="110" t="str">
        <x:v>주석: 파일럿 생산은 적은 물량으로 공정·품질·원가를 확인하는 시험생산입니다. 발효조(퍼멘터)는 미생물을 배양하는 생산 설비입니다. 2027년 상반기 양산과 2028년 하반기 자체 공장 설립은 목표 일정이며, 규제·품질·수요·매출총이익·투자 회수 조건을 통과할 때만 다음 단계로 전환합니다.</x:v>
      </x:c>
      <x:c r="B16" s="110" t="str">
        <x:v>주석: 파일럿 생산은 적은 물량으로 공정·품질·원가를 확인하는 시험생산입니다. 발효조(퍼멘터)는 미생물을 배양하는 생산 설비입니다. 2027년 상반기 양산과 2028년 하반기 자체 공장 설립은 목표 일정이며, 규제·품질·수요·매출총이익·투자 회수 조건을 통과할 때만 다음 단계로 전환합니다.</x:v>
      </x:c>
      <x:c r="C16" s="110" t="str">
        <x:v>주석: 파일럿 생산은 적은 물량으로 공정·품질·원가를 확인하는 시험생산입니다. 발효조(퍼멘터)는 미생물을 배양하는 생산 설비입니다. 2027년 상반기 양산과 2028년 하반기 자체 공장 설립은 목표 일정이며, 규제·품질·수요·매출총이익·투자 회수 조건을 통과할 때만 다음 단계로 전환합니다.</x:v>
      </x:c>
      <x:c r="D16" s="110" t="str">
        <x:v>주석: 파일럿 생산은 적은 물량으로 공정·품질·원가를 확인하는 시험생산입니다. 발효조(퍼멘터)는 미생물을 배양하는 생산 설비입니다. 2027년 상반기 양산과 2028년 하반기 자체 공장 설립은 목표 일정이며, 규제·품질·수요·매출총이익·투자 회수 조건을 통과할 때만 다음 단계로 전환합니다.</x:v>
      </x:c>
      <x:c r="E16" s="110" t="str">
        <x:v>주석: 파일럿 생산은 적은 물량으로 공정·품질·원가를 확인하는 시험생산입니다. 발효조(퍼멘터)는 미생물을 배양하는 생산 설비입니다. 2027년 상반기 양산과 2028년 하반기 자체 공장 설립은 목표 일정이며, 규제·품질·수요·매출총이익·투자 회수 조건을 통과할 때만 다음 단계로 전환합니다.</x:v>
      </x:c>
      <x:c r="F16" s="110" t="str">
        <x:v>주석: 파일럿 생산은 적은 물량으로 공정·품질·원가를 확인하는 시험생산입니다. 발효조(퍼멘터)는 미생물을 배양하는 생산 설비입니다. 2027년 상반기 양산과 2028년 하반기 자체 공장 설립은 목표 일정이며, 규제·품질·수요·매출총이익·투자 회수 조건을 통과할 때만 다음 단계로 전환합니다.</x:v>
      </x:c>
      <x:c r="G16" s="110" t="str">
        <x:v>주석: 파일럿 생산은 적은 물량으로 공정·품질·원가를 확인하는 시험생산입니다. 발효조(퍼멘터)는 미생물을 배양하는 생산 설비입니다. 2027년 상반기 양산과 2028년 하반기 자체 공장 설립은 목표 일정이며, 규제·품질·수요·매출총이익·투자 회수 조건을 통과할 때만 다음 단계로 전환합니다.</x:v>
      </x:c>
      <x:c r="H16" s="110" t="str">
        <x:v>주석: 파일럿 생산은 적은 물량으로 공정·품질·원가를 확인하는 시험생산입니다. 발효조(퍼멘터)는 미생물을 배양하는 생산 설비입니다. 2027년 상반기 양산과 2028년 하반기 자체 공장 설립은 목표 일정이며, 규제·품질·수요·매출총이익·투자 회수 조건을 통과할 때만 다음 단계로 전환합니다.</x:v>
      </x:c>
    </x:row>
    <x:row r="17">
      <x:c r="A17" s="110" t="str">
        <x:v>주석: 파일럿 생산은 적은 물량으로 공정·품질·원가를 확인하는 시험생산입니다. 발효조(퍼멘터)는 미생물을 배양하는 생산 설비입니다. 2027년 상반기 양산과 2028년 하반기 자체 공장 설립은 목표 일정이며, 규제·품질·수요·매출총이익·투자 회수 조건을 통과할 때만 다음 단계로 전환합니다.</x:v>
      </x:c>
      <x:c r="B17" s="110" t="str">
        <x:v>주석: 파일럿 생산은 적은 물량으로 공정·품질·원가를 확인하는 시험생산입니다. 발효조(퍼멘터)는 미생물을 배양하는 생산 설비입니다. 2027년 상반기 양산과 2028년 하반기 자체 공장 설립은 목표 일정이며, 규제·품질·수요·매출총이익·투자 회수 조건을 통과할 때만 다음 단계로 전환합니다.</x:v>
      </x:c>
      <x:c r="C17" s="110" t="str">
        <x:v>주석: 파일럿 생산은 적은 물량으로 공정·품질·원가를 확인하는 시험생산입니다. 발효조(퍼멘터)는 미생물을 배양하는 생산 설비입니다. 2027년 상반기 양산과 2028년 하반기 자체 공장 설립은 목표 일정이며, 규제·품질·수요·매출총이익·투자 회수 조건을 통과할 때만 다음 단계로 전환합니다.</x:v>
      </x:c>
      <x:c r="D17" s="110" t="str">
        <x:v>주석: 파일럿 생산은 적은 물량으로 공정·품질·원가를 확인하는 시험생산입니다. 발효조(퍼멘터)는 미생물을 배양하는 생산 설비입니다. 2027년 상반기 양산과 2028년 하반기 자체 공장 설립은 목표 일정이며, 규제·품질·수요·매출총이익·투자 회수 조건을 통과할 때만 다음 단계로 전환합니다.</x:v>
      </x:c>
      <x:c r="E17" s="110" t="str">
        <x:v>주석: 파일럿 생산은 적은 물량으로 공정·품질·원가를 확인하는 시험생산입니다. 발효조(퍼멘터)는 미생물을 배양하는 생산 설비입니다. 2027년 상반기 양산과 2028년 하반기 자체 공장 설립은 목표 일정이며, 규제·품질·수요·매출총이익·투자 회수 조건을 통과할 때만 다음 단계로 전환합니다.</x:v>
      </x:c>
      <x:c r="F17" s="110" t="str">
        <x:v>주석: 파일럿 생산은 적은 물량으로 공정·품질·원가를 확인하는 시험생산입니다. 발효조(퍼멘터)는 미생물을 배양하는 생산 설비입니다. 2027년 상반기 양산과 2028년 하반기 자체 공장 설립은 목표 일정이며, 규제·품질·수요·매출총이익·투자 회수 조건을 통과할 때만 다음 단계로 전환합니다.</x:v>
      </x:c>
      <x:c r="G17" s="110" t="str">
        <x:v>주석: 파일럿 생산은 적은 물량으로 공정·품질·원가를 확인하는 시험생산입니다. 발효조(퍼멘터)는 미생물을 배양하는 생산 설비입니다. 2027년 상반기 양산과 2028년 하반기 자체 공장 설립은 목표 일정이며, 규제·품질·수요·매출총이익·투자 회수 조건을 통과할 때만 다음 단계로 전환합니다.</x:v>
      </x:c>
      <x:c r="H17" s="110" t="str">
        <x:v>주석: 파일럿 생산은 적은 물량으로 공정·품질·원가를 확인하는 시험생산입니다. 발효조(퍼멘터)는 미생물을 배양하는 생산 설비입니다. 2027년 상반기 양산과 2028년 하반기 자체 공장 설립은 목표 일정이며, 규제·품질·수요·매출총이익·투자 회수 조건을 통과할 때만 다음 단계로 전환합니다.</x:v>
      </x:c>
    </x:row>
    <x:row r="18">
      <x:c r="A18" s="110" t="str">
        <x:v>주석: 파일럿 생산은 적은 물량으로 공정·품질·원가를 확인하는 시험생산입니다. 발효조(퍼멘터)는 미생물을 배양하는 생산 설비입니다. 2027년 상반기 양산과 2028년 하반기 자체 공장 설립은 목표 일정이며, 규제·품질·수요·매출총이익·투자 회수 조건을 통과할 때만 다음 단계로 전환합니다.</x:v>
      </x:c>
      <x:c r="B18" s="110" t="str">
        <x:v>주석: 파일럿 생산은 적은 물량으로 공정·품질·원가를 확인하는 시험생산입니다. 발효조(퍼멘터)는 미생물을 배양하는 생산 설비입니다. 2027년 상반기 양산과 2028년 하반기 자체 공장 설립은 목표 일정이며, 규제·품질·수요·매출총이익·투자 회수 조건을 통과할 때만 다음 단계로 전환합니다.</x:v>
      </x:c>
      <x:c r="C18" s="110" t="str">
        <x:v>주석: 파일럿 생산은 적은 물량으로 공정·품질·원가를 확인하는 시험생산입니다. 발효조(퍼멘터)는 미생물을 배양하는 생산 설비입니다. 2027년 상반기 양산과 2028년 하반기 자체 공장 설립은 목표 일정이며, 규제·품질·수요·매출총이익·투자 회수 조건을 통과할 때만 다음 단계로 전환합니다.</x:v>
      </x:c>
      <x:c r="D18" s="110" t="str">
        <x:v>주석: 파일럿 생산은 적은 물량으로 공정·품질·원가를 확인하는 시험생산입니다. 발효조(퍼멘터)는 미생물을 배양하는 생산 설비입니다. 2027년 상반기 양산과 2028년 하반기 자체 공장 설립은 목표 일정이며, 규제·품질·수요·매출총이익·투자 회수 조건을 통과할 때만 다음 단계로 전환합니다.</x:v>
      </x:c>
      <x:c r="E18" s="110" t="str">
        <x:v>주석: 파일럿 생산은 적은 물량으로 공정·품질·원가를 확인하는 시험생산입니다. 발효조(퍼멘터)는 미생물을 배양하는 생산 설비입니다. 2027년 상반기 양산과 2028년 하반기 자체 공장 설립은 목표 일정이며, 규제·품질·수요·매출총이익·투자 회수 조건을 통과할 때만 다음 단계로 전환합니다.</x:v>
      </x:c>
      <x:c r="F18" s="110" t="str">
        <x:v>주석: 파일럿 생산은 적은 물량으로 공정·품질·원가를 확인하는 시험생산입니다. 발효조(퍼멘터)는 미생물을 배양하는 생산 설비입니다. 2027년 상반기 양산과 2028년 하반기 자체 공장 설립은 목표 일정이며, 규제·품질·수요·매출총이익·투자 회수 조건을 통과할 때만 다음 단계로 전환합니다.</x:v>
      </x:c>
      <x:c r="G18" s="110" t="str">
        <x:v>주석: 파일럿 생산은 적은 물량으로 공정·품질·원가를 확인하는 시험생산입니다. 발효조(퍼멘터)는 미생물을 배양하는 생산 설비입니다. 2027년 상반기 양산과 2028년 하반기 자체 공장 설립은 목표 일정이며, 규제·품질·수요·매출총이익·투자 회수 조건을 통과할 때만 다음 단계로 전환합니다.</x:v>
      </x:c>
      <x:c r="H18" s="110" t="str">
        <x:v>주석: 파일럿 생산은 적은 물량으로 공정·품질·원가를 확인하는 시험생산입니다. 발효조(퍼멘터)는 미생물을 배양하는 생산 설비입니다. 2027년 상반기 양산과 2028년 하반기 자체 공장 설립은 목표 일정이며, 규제·품질·수요·매출총이익·투자 회수 조건을 통과할 때만 다음 단계로 전환합니다.</x:v>
      </x:c>
    </x:row>
  </x:sheetData>
  <x:mergeCells>
    <x:mergeCell ref="A1:H1"/>
    <x:mergeCell ref="A2:H2"/>
    <x:mergeCell ref="A4:H4"/>
    <x:mergeCell ref="A10:H10"/>
    <x:mergeCell ref="A16:H18"/>
  </x:mergeCells>
  <x:dataValidations count="2">
    <x:dataValidation type="list" sqref="H6:H8">
      <x:formula1>"목표,진행 중,완료,보류"</x:formula1>
    </x:dataValidation>
    <x:dataValidation type="list" sqref="H12:H14">
      <x:formula1>"미판정,승인,조건부 승인,보류"</x:formula1>
    </x:dataValidation>
  </x:dataValidations>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5"/>
  <x:cols>
    <x:col min="1" max="1" width="15" hidden="0" customWidth="1"/>
    <x:col min="2" max="2" width="24" hidden="0" customWidth="1"/>
    <x:col min="3" max="3" width="22" hidden="0" customWidth="1"/>
    <x:col min="4" max="4" width="24" hidden="0" customWidth="1"/>
    <x:col min="5" max="5" width="31" hidden="0" customWidth="1"/>
    <x:col min="6" max="6" width="34" hidden="0" customWidth="1"/>
    <x:col min="7" max="7" width="34" hidden="0" customWidth="1"/>
    <x:col min="8" max="8" width="19" hidden="0" customWidth="1"/>
  </x:cols>
  <x:sheetData>
    <x:row r="1" ht="24" hidden="0" customHeight="1">
      <x:c r="A1" s="3" t="str">
        <x:v>09 · SPECIES VALIDATION MATRIX</x:v>
      </x:c>
      <x:c r="B1" s="3" t="str">
        <x:v>09 · SPECIES VALIDATION MATRIX</x:v>
      </x:c>
      <x:c r="C1" s="3" t="str">
        <x:v>09 · SPECIES VALIDATION MATRIX</x:v>
      </x:c>
      <x:c r="D1" s="3" t="str">
        <x:v>09 · SPECIES VALIDATION MATRIX</x:v>
      </x:c>
      <x:c r="E1" s="3" t="str">
        <x:v>09 · SPECIES VALIDATION MATRIX</x:v>
      </x:c>
      <x:c r="F1" s="3" t="str">
        <x:v>09 · SPECIES VALIDATION MATRIX</x:v>
      </x:c>
      <x:c r="G1" s="3" t="str">
        <x:v>09 · SPECIES VALIDATION MATRIX</x:v>
      </x:c>
      <x:c r="H1" s="3" t="str">
        <x:v>09 · SPECIES VALIDATION MATRIX</x:v>
      </x:c>
    </x:row>
    <x:row r="2" ht="15" hidden="0" customHeight="1">
      <x:c r="A2" s="6" t="str">
        <x:v>축종별 생산주기를 반영한 최소 장기 효능시험 기간과 최종 판정 시점</x:v>
      </x:c>
      <x:c r="B2" s="6" t="str">
        <x:v>축종별 생산주기를 반영한 최소 장기 효능시험 기간과 최종 판정 시점</x:v>
      </x:c>
      <x:c r="C2" s="6" t="str">
        <x:v>축종별 생산주기를 반영한 최소 장기 효능시험 기간과 최종 판정 시점</x:v>
      </x:c>
      <x:c r="D2" s="6" t="str">
        <x:v>축종별 생산주기를 반영한 최소 장기 효능시험 기간과 최종 판정 시점</x:v>
      </x:c>
      <x:c r="E2" s="6" t="str">
        <x:v>축종별 생산주기를 반영한 최소 장기 효능시험 기간과 최종 판정 시점</x:v>
      </x:c>
      <x:c r="F2" s="6" t="str">
        <x:v>축종별 생산주기를 반영한 최소 장기 효능시험 기간과 최종 판정 시점</x:v>
      </x:c>
      <x:c r="G2" s="6" t="str">
        <x:v>축종별 생산주기를 반영한 최소 장기 효능시험 기간과 최종 판정 시점</x:v>
      </x:c>
      <x:c r="H2" s="6" t="str">
        <x:v>축종별 생산주기를 반영한 최소 장기 효능시험 기간과 최종 판정 시점</x:v>
      </x:c>
    </x:row>
    <x:row r="3"/>
    <x:row r="4">
      <x:c r="A4" s="71" t="str">
        <x:v>적용 원칙: 아래 기간은 EU 집행규정 429/2008 부속서 IV의 장기 효능시험 최소기간을 사업계획 기준으로 적용한 것입니다. 국내 시험은 연구기관이 적응기간·개체수·반복수·통계모형·동물윤리 절차를 확정한 뒤 시작합니다.</x:v>
      </x:c>
      <x:c r="B4" s="71" t="str">
        <x:v>적용 원칙: 아래 기간은 EU 집행규정 429/2008 부속서 IV의 장기 효능시험 최소기간을 사업계획 기준으로 적용한 것입니다. 국내 시험은 연구기관이 적응기간·개체수·반복수·통계모형·동물윤리 절차를 확정한 뒤 시작합니다.</x:v>
      </x:c>
      <x:c r="C4" s="71" t="str">
        <x:v>적용 원칙: 아래 기간은 EU 집행규정 429/2008 부속서 IV의 장기 효능시험 최소기간을 사업계획 기준으로 적용한 것입니다. 국내 시험은 연구기관이 적응기간·개체수·반복수·통계모형·동물윤리 절차를 확정한 뒤 시작합니다.</x:v>
      </x:c>
      <x:c r="D4" s="71" t="str">
        <x:v>적용 원칙: 아래 기간은 EU 집행규정 429/2008 부속서 IV의 장기 효능시험 최소기간을 사업계획 기준으로 적용한 것입니다. 국내 시험은 연구기관이 적응기간·개체수·반복수·통계모형·동물윤리 절차를 확정한 뒤 시작합니다.</x:v>
      </x:c>
      <x:c r="E4" s="71" t="str">
        <x:v>적용 원칙: 아래 기간은 EU 집행규정 429/2008 부속서 IV의 장기 효능시험 최소기간을 사업계획 기준으로 적용한 것입니다. 국내 시험은 연구기관이 적응기간·개체수·반복수·통계모형·동물윤리 절차를 확정한 뒤 시작합니다.</x:v>
      </x:c>
      <x:c r="F4" s="71" t="str">
        <x:v>적용 원칙: 아래 기간은 EU 집행규정 429/2008 부속서 IV의 장기 효능시험 최소기간을 사업계획 기준으로 적용한 것입니다. 국내 시험은 연구기관이 적응기간·개체수·반복수·통계모형·동물윤리 절차를 확정한 뒤 시작합니다.</x:v>
      </x:c>
      <x:c r="G4" s="71" t="str">
        <x:v>적용 원칙: 아래 기간은 EU 집행규정 429/2008 부속서 IV의 장기 효능시험 최소기간을 사업계획 기준으로 적용한 것입니다. 국내 시험은 연구기관이 적응기간·개체수·반복수·통계모형·동물윤리 절차를 확정한 뒤 시작합니다.</x:v>
      </x:c>
      <x:c r="H4" s="71" t="str">
        <x:v>적용 원칙: 아래 기간은 EU 집행규정 429/2008 부속서 IV의 장기 효능시험 최소기간을 사업계획 기준으로 적용한 것입니다. 국내 시험은 연구기관이 적응기간·개체수·반복수·통계모형·동물윤리 절차를 확정한 뒤 시작합니다.</x:v>
      </x:c>
    </x:row>
    <x:row r="5">
      <x:c r="A5" s="71" t="str">
        <x:v>적용 원칙: 아래 기간은 EU 집행규정 429/2008 부속서 IV의 장기 효능시험 최소기간을 사업계획 기준으로 적용한 것입니다. 국내 시험은 연구기관이 적응기간·개체수·반복수·통계모형·동물윤리 절차를 확정한 뒤 시작합니다.</x:v>
      </x:c>
      <x:c r="B5" s="71" t="str">
        <x:v>적용 원칙: 아래 기간은 EU 집행규정 429/2008 부속서 IV의 장기 효능시험 최소기간을 사업계획 기준으로 적용한 것입니다. 국내 시험은 연구기관이 적응기간·개체수·반복수·통계모형·동물윤리 절차를 확정한 뒤 시작합니다.</x:v>
      </x:c>
      <x:c r="C5" s="71" t="str">
        <x:v>적용 원칙: 아래 기간은 EU 집행규정 429/2008 부속서 IV의 장기 효능시험 최소기간을 사업계획 기준으로 적용한 것입니다. 국내 시험은 연구기관이 적응기간·개체수·반복수·통계모형·동물윤리 절차를 확정한 뒤 시작합니다.</x:v>
      </x:c>
      <x:c r="D5" s="71" t="str">
        <x:v>적용 원칙: 아래 기간은 EU 집행규정 429/2008 부속서 IV의 장기 효능시험 최소기간을 사업계획 기준으로 적용한 것입니다. 국내 시험은 연구기관이 적응기간·개체수·반복수·통계모형·동물윤리 절차를 확정한 뒤 시작합니다.</x:v>
      </x:c>
      <x:c r="E5" s="71" t="str">
        <x:v>적용 원칙: 아래 기간은 EU 집행규정 429/2008 부속서 IV의 장기 효능시험 최소기간을 사업계획 기준으로 적용한 것입니다. 국내 시험은 연구기관이 적응기간·개체수·반복수·통계모형·동물윤리 절차를 확정한 뒤 시작합니다.</x:v>
      </x:c>
      <x:c r="F5" s="71" t="str">
        <x:v>적용 원칙: 아래 기간은 EU 집행규정 429/2008 부속서 IV의 장기 효능시험 최소기간을 사업계획 기준으로 적용한 것입니다. 국내 시험은 연구기관이 적응기간·개체수·반복수·통계모형·동물윤리 절차를 확정한 뒤 시작합니다.</x:v>
      </x:c>
      <x:c r="G5" s="71" t="str">
        <x:v>적용 원칙: 아래 기간은 EU 집행규정 429/2008 부속서 IV의 장기 효능시험 최소기간을 사업계획 기준으로 적용한 것입니다. 국내 시험은 연구기관이 적응기간·개체수·반복수·통계모형·동물윤리 절차를 확정한 뒤 시작합니다.</x:v>
      </x:c>
      <x:c r="H5" s="71" t="str">
        <x:v>적용 원칙: 아래 기간은 EU 집행규정 429/2008 부속서 IV의 장기 효능시험 최소기간을 사업계획 기준으로 적용한 것입니다. 국내 시험은 연구기관이 적응기간·개체수·반복수·통계모형·동물윤리 절차를 확정한 뒤 시작합니다.</x:v>
      </x:c>
    </x:row>
    <x:row r="6"/>
    <x:row r="7" ht="15" hidden="0" customHeight="1">
      <x:c r="A7" s="31" t="str">
        <x:v>축종군</x:v>
      </x:c>
      <x:c r="B7" s="32" t="str">
        <x:v>생산단계</x:v>
      </x:c>
      <x:c r="C7" s="32" t="str">
        <x:v>최소 본시험 기간</x:v>
      </x:c>
      <x:c r="D7" s="32" t="str">
        <x:v>최종 판정 시점</x:v>
      </x:c>
      <x:c r="E7" s="32" t="str">
        <x:v>핵심 생산성 지표</x:v>
      </x:c>
      <x:c r="F7" s="32" t="str">
        <x:v>품질·건강 지표</x:v>
      </x:c>
      <x:c r="G7" s="32" t="str">
        <x:v>국내 참고</x:v>
      </x:c>
      <x:c r="H7" s="33" t="str">
        <x:v>상태</x:v>
      </x:c>
    </x:row>
    <x:row r="8" ht="15" hidden="0" customHeight="1">
      <x:c r="A8" s="120" t="str">
        <x:v>비육우</x:v>
      </x:c>
      <x:c r="B8" s="40" t="str">
        <x:v>반추 기능이 완성된 비육기</x:v>
      </x:c>
      <x:c r="C8" s="40" t="str">
        <x:v>168일 이상</x:v>
      </x:c>
      <x:c r="D8" s="40" t="str">
        <x:v>출하·도축 시</x:v>
      </x:c>
      <x:c r="E8" s="40" t="str">
        <x:v>ADG·FCR·kg 증체당 사료비</x:v>
      </x:c>
      <x:c r="F8" s="40" t="str">
        <x:v>도체중·등심단면적·근내지방도·육질등급</x:v>
      </x:c>
      <x:c r="G8" s="40" t="str">
        <x:v>연구기관 최종 설계</x:v>
      </x:c>
      <x:c r="H8" s="40" t="str">
        <x:v>계획 확정 필요</x:v>
      </x:c>
    </x:row>
    <x:row r="9" ht="15" hidden="0" customHeight="1">
      <x:c r="A9" s="121" t="str">
        <x:v>젖소</x:v>
      </x:c>
      <x:c r="B9" s="49" t="str">
        <x:v>1회 이상 분만한 착유우</x:v>
      </x:c>
      <x:c r="C9" s="49" t="str">
        <x:v>84일 이상</x:v>
      </x:c>
      <x:c r="D9" s="49" t="str">
        <x:v>전체 비유기 함께 보고</x:v>
      </x:c>
      <x:c r="E9" s="49" t="str">
        <x:v>건물섭취량·산유량·사료효율</x:v>
      </x:c>
      <x:c r="F9" s="49" t="str">
        <x:v>유성분·체세포수·건강지표</x:v>
      </x:c>
      <x:c r="G9" s="49" t="str">
        <x:v>연구기관 최종 설계</x:v>
      </x:c>
      <x:c r="H9" s="49" t="str">
        <x:v>계획 확정 필요</x:v>
      </x:c>
    </x:row>
    <x:row r="10" ht="15" hidden="0" customHeight="1">
      <x:c r="A10" s="121" t="str">
        <x:v>돼지</x:v>
      </x:c>
      <x:c r="B10" s="49" t="str">
        <x:v>이유자돈·비육돈</x:v>
      </x:c>
      <x:c r="C10" s="49" t="str">
        <x:v>42일 · 70일 이상</x:v>
      </x:c>
      <x:c r="D10" s="49" t="str">
        <x:v>비육돈은 출하 시</x:v>
      </x:c>
      <x:c r="E10" s="49" t="str">
        <x:v>ADG·FCR·출하일령</x:v>
      </x:c>
      <x:c r="F10" s="49" t="str">
        <x:v>폐사·이상반응·도체성적</x:v>
      </x:c>
      <x:c r="G10" s="49" t="str">
        <x:v>국립축산과학원 이유자돈 6주 사례</x:v>
      </x:c>
      <x:c r="H10" s="49" t="str">
        <x:v>계획 확정 필요</x:v>
      </x:c>
    </x:row>
    <x:row r="11" ht="15" hidden="0" customHeight="1">
      <x:c r="A11" s="121" t="str">
        <x:v>육계</x:v>
      </x:c>
      <x:c r="B11" s="49" t="str">
        <x:v>부화 후 출하기</x:v>
      </x:c>
      <x:c r="C11" s="49" t="str">
        <x:v>35일</x:v>
      </x:c>
      <x:c r="D11" s="49" t="str">
        <x:v>출하·도축 시</x:v>
      </x:c>
      <x:c r="E11" s="49" t="str">
        <x:v>증체량·FCR·균일도</x:v>
      </x:c>
      <x:c r="F11" s="49" t="str">
        <x:v>폐사율·도체수율</x:v>
      </x:c>
      <x:c r="G11" s="49" t="str">
        <x:v>국립축산과학원 1~5(6)주령 사례</x:v>
      </x:c>
      <x:c r="H11" s="49" t="str">
        <x:v>계획 확정 필요</x:v>
      </x:c>
    </x:row>
    <x:row r="12" ht="15" hidden="0" customHeight="1">
      <x:c r="A12" s="121" t="str">
        <x:v>산란계</x:v>
      </x:c>
      <x:c r="B12" s="49" t="str">
        <x:v>산란기</x:v>
      </x:c>
      <x:c r="C12" s="49" t="str">
        <x:v>168일</x:v>
      </x:c>
      <x:c r="D12" s="49" t="str">
        <x:v>시험 산란주기 종료</x:v>
      </x:c>
      <x:c r="E12" s="49" t="str">
        <x:v>산란율·난중·일산란량·FCR</x:v>
      </x:c>
      <x:c r="F12" s="49" t="str">
        <x:v>난질·폐사율</x:v>
      </x:c>
      <x:c r="G12" s="49" t="str">
        <x:v>국립축산과학원 8주 조기 조사 사례</x:v>
      </x:c>
      <x:c r="H12" s="49" t="str">
        <x:v>계획 확정 필요</x:v>
      </x:c>
    </x:row>
    <x:row r="13" ht="15" hidden="0" customHeight="1">
      <x:c r="A13" s="122" t="str">
        <x:v>염소·면양</x:v>
      </x:c>
      <x:c r="B13" s="41" t="str">
        <x:v>육성·비육·착유</x:v>
      </x:c>
      <x:c r="C13" s="41" t="str">
        <x:v>56일 이상 · 착유 84일</x:v>
      </x:c>
      <x:c r="D13" s="41" t="str">
        <x:v>출하 또는 비유기 종료</x:v>
      </x:c>
      <x:c r="E13" s="41" t="str">
        <x:v>증체량·FCR·유량</x:v>
      </x:c>
      <x:c r="F13" s="41" t="str">
        <x:v>건강·도체 또는 유성분</x:v>
      </x:c>
      <x:c r="G13" s="41" t="str">
        <x:v>연구기관 최종 설계</x:v>
      </x:c>
      <x:c r="H13" s="41" t="str">
        <x:v>계획 확정 필요</x:v>
      </x:c>
    </x:row>
    <x:row r="14"/>
    <x:row r="15" ht="15" hidden="0" customHeight="1">
      <x:c r="A15" s="46" t="str">
        <x:v>점수 반영 규칙</x:v>
      </x:c>
      <x:c r="B15" s="46" t="str">
        <x:v>점수 반영 규칙</x:v>
      </x:c>
      <x:c r="C15" s="46" t="str">
        <x:v>점수 반영 규칙</x:v>
      </x:c>
      <x:c r="D15" s="46" t="str">
        <x:v>점수 반영 규칙</x:v>
      </x:c>
      <x:c r="E15" s="46" t="str">
        <x:v>점수 반영 규칙</x:v>
      </x:c>
      <x:c r="F15" s="46" t="str">
        <x:v>점수 반영 규칙</x:v>
      </x:c>
      <x:c r="G15" s="46" t="str">
        <x:v>점수 반영 규칙</x:v>
      </x:c>
      <x:c r="H15" s="46" t="str">
        <x:v>점수 반영 규칙</x:v>
      </x:c>
    </x:row>
    <x:row r="16" ht="15" hidden="0" customHeight="1">
      <x:c r="A16" s="103" t="str">
        <x:v>현재 제품근거</x:v>
      </x:c>
      <x:c r="B16" s="103" t="str">
        <x:v>8/20</x:v>
      </x:c>
      <x:c r="C16" s="40" t="str"/>
      <x:c r="D16" s="40" t="str"/>
      <x:c r="E16" s="40" t="str">
        <x:v>확인된 점수</x:v>
      </x:c>
      <x:c r="F16" s="40" t="str">
        <x:v>논문과 가설 수준</x:v>
      </x:c>
      <x:c r="G16" s="40" t="str"/>
      <x:c r="H16" s="40" t="str"/>
    </x:row>
    <x:row r="17" ht="24" hidden="0" customHeight="1">
      <x:c r="A17" s="104" t="str">
        <x:v>계획 승인</x:v>
      </x:c>
      <x:c r="B17" s="104" t="str">
        <x:v>+2점</x:v>
      </x:c>
      <x:c r="C17" s="49" t="str"/>
      <x:c r="D17" s="49" t="str"/>
      <x:c r="E17" s="49" t="str">
        <x:v>필수 조건</x:v>
      </x:c>
      <x:c r="F17" s="49" t="str">
        <x:v>축종별 대조군·용량·판정지표·통계계획 사전 승인</x:v>
      </x:c>
      <x:c r="G17" s="49" t="str"/>
      <x:c r="H17" s="49" t="str"/>
    </x:row>
    <x:row r="18" ht="15" hidden="0" customHeight="1">
      <x:c r="A18" s="104" t="str">
        <x:v>시험 완료</x:v>
      </x:c>
      <x:c r="B18" s="104" t="str">
        <x:v>+8점</x:v>
      </x:c>
      <x:c r="C18" s="49" t="str"/>
      <x:c r="D18" s="49" t="str"/>
      <x:c r="E18" s="49" t="str">
        <x:v>필수 조건</x:v>
      </x:c>
      <x:c r="F18" s="49" t="str">
        <x:v>6개 축종군 본시험과 최종 성과 보고서 검토 완료</x:v>
      </x:c>
      <x:c r="G18" s="49" t="str"/>
      <x:c r="H18" s="49" t="str"/>
    </x:row>
    <x:row r="19" ht="24" hidden="0" customHeight="1">
      <x:c r="A19" s="105" t="str">
        <x:v>제품근거 목표</x:v>
      </x:c>
      <x:c r="B19" s="105" t="str">
        <x:v>20/20</x:v>
      </x:c>
      <x:c r="C19" s="41" t="str"/>
      <x:c r="D19" s="41" t="str"/>
      <x:c r="E19" s="41" t="str">
        <x:v>필수 조건</x:v>
      </x:c>
      <x:c r="F19" s="41" t="str">
        <x:v>제품 규격·안정성·유효용량·효능 결과가 같은 로트와 연결</x:v>
      </x:c>
      <x:c r="G19" s="41" t="str"/>
      <x:c r="H19" s="41" t="str"/>
    </x:row>
    <x:row r="20"/>
    <x:row r="21">
      <x:c r="A21" s="62" t="str">
        <x:v>주의: 국립축산과학원 사례는 국내 연구현장에서 사용한 기간을 확인하기 위한 참고이며 가바케어믹스 효능 근거가 아닙니다. 산란계 8주 사례는 조기 점검에 사용할 수 있지만, 20/20 최종 제품근거는 168일 장기 효능시험을 충족한 뒤 반영합니다.</x:v>
      </x:c>
      <x:c r="B21" s="62" t="str">
        <x:v>주의: 국립축산과학원 사례는 국내 연구현장에서 사용한 기간을 확인하기 위한 참고이며 가바케어믹스 효능 근거가 아닙니다. 산란계 8주 사례는 조기 점검에 사용할 수 있지만, 20/20 최종 제품근거는 168일 장기 효능시험을 충족한 뒤 반영합니다.</x:v>
      </x:c>
      <x:c r="C21" s="62" t="str">
        <x:v>주의: 국립축산과학원 사례는 국내 연구현장에서 사용한 기간을 확인하기 위한 참고이며 가바케어믹스 효능 근거가 아닙니다. 산란계 8주 사례는 조기 점검에 사용할 수 있지만, 20/20 최종 제품근거는 168일 장기 효능시험을 충족한 뒤 반영합니다.</x:v>
      </x:c>
      <x:c r="D21" s="62" t="str">
        <x:v>주의: 국립축산과학원 사례는 국내 연구현장에서 사용한 기간을 확인하기 위한 참고이며 가바케어믹스 효능 근거가 아닙니다. 산란계 8주 사례는 조기 점검에 사용할 수 있지만, 20/20 최종 제품근거는 168일 장기 효능시험을 충족한 뒤 반영합니다.</x:v>
      </x:c>
      <x:c r="E21" s="62" t="str">
        <x:v>주의: 국립축산과학원 사례는 국내 연구현장에서 사용한 기간을 확인하기 위한 참고이며 가바케어믹스 효능 근거가 아닙니다. 산란계 8주 사례는 조기 점검에 사용할 수 있지만, 20/20 최종 제품근거는 168일 장기 효능시험을 충족한 뒤 반영합니다.</x:v>
      </x:c>
      <x:c r="F21" s="62" t="str">
        <x:v>주의: 국립축산과학원 사례는 국내 연구현장에서 사용한 기간을 확인하기 위한 참고이며 가바케어믹스 효능 근거가 아닙니다. 산란계 8주 사례는 조기 점검에 사용할 수 있지만, 20/20 최종 제품근거는 168일 장기 효능시험을 충족한 뒤 반영합니다.</x:v>
      </x:c>
      <x:c r="G21" s="62" t="str">
        <x:v>주의: 국립축산과학원 사례는 국내 연구현장에서 사용한 기간을 확인하기 위한 참고이며 가바케어믹스 효능 근거가 아닙니다. 산란계 8주 사례는 조기 점검에 사용할 수 있지만, 20/20 최종 제품근거는 168일 장기 효능시험을 충족한 뒤 반영합니다.</x:v>
      </x:c>
      <x:c r="H21" s="62" t="str">
        <x:v>주의: 국립축산과학원 사례는 국내 연구현장에서 사용한 기간을 확인하기 위한 참고이며 가바케어믹스 효능 근거가 아닙니다. 산란계 8주 사례는 조기 점검에 사용할 수 있지만, 20/20 최종 제품근거는 168일 장기 효능시험을 충족한 뒤 반영합니다.</x:v>
      </x:c>
    </x:row>
    <x:row r="22">
      <x:c r="A22" s="62" t="str">
        <x:v>주의: 국립축산과학원 사례는 국내 연구현장에서 사용한 기간을 확인하기 위한 참고이며 가바케어믹스 효능 근거가 아닙니다. 산란계 8주 사례는 조기 점검에 사용할 수 있지만, 20/20 최종 제품근거는 168일 장기 효능시험을 충족한 뒤 반영합니다.</x:v>
      </x:c>
      <x:c r="B22" s="62" t="str">
        <x:v>주의: 국립축산과학원 사례는 국내 연구현장에서 사용한 기간을 확인하기 위한 참고이며 가바케어믹스 효능 근거가 아닙니다. 산란계 8주 사례는 조기 점검에 사용할 수 있지만, 20/20 최종 제품근거는 168일 장기 효능시험을 충족한 뒤 반영합니다.</x:v>
      </x:c>
      <x:c r="C22" s="62" t="str">
        <x:v>주의: 국립축산과학원 사례는 국내 연구현장에서 사용한 기간을 확인하기 위한 참고이며 가바케어믹스 효능 근거가 아닙니다. 산란계 8주 사례는 조기 점검에 사용할 수 있지만, 20/20 최종 제품근거는 168일 장기 효능시험을 충족한 뒤 반영합니다.</x:v>
      </x:c>
      <x:c r="D22" s="62" t="str">
        <x:v>주의: 국립축산과학원 사례는 국내 연구현장에서 사용한 기간을 확인하기 위한 참고이며 가바케어믹스 효능 근거가 아닙니다. 산란계 8주 사례는 조기 점검에 사용할 수 있지만, 20/20 최종 제품근거는 168일 장기 효능시험을 충족한 뒤 반영합니다.</x:v>
      </x:c>
      <x:c r="E22" s="62" t="str">
        <x:v>주의: 국립축산과학원 사례는 국내 연구현장에서 사용한 기간을 확인하기 위한 참고이며 가바케어믹스 효능 근거가 아닙니다. 산란계 8주 사례는 조기 점검에 사용할 수 있지만, 20/20 최종 제품근거는 168일 장기 효능시험을 충족한 뒤 반영합니다.</x:v>
      </x:c>
      <x:c r="F22" s="62" t="str">
        <x:v>주의: 국립축산과학원 사례는 국내 연구현장에서 사용한 기간을 확인하기 위한 참고이며 가바케어믹스 효능 근거가 아닙니다. 산란계 8주 사례는 조기 점검에 사용할 수 있지만, 20/20 최종 제품근거는 168일 장기 효능시험을 충족한 뒤 반영합니다.</x:v>
      </x:c>
      <x:c r="G22" s="62" t="str">
        <x:v>주의: 국립축산과학원 사례는 국내 연구현장에서 사용한 기간을 확인하기 위한 참고이며 가바케어믹스 효능 근거가 아닙니다. 산란계 8주 사례는 조기 점검에 사용할 수 있지만, 20/20 최종 제품근거는 168일 장기 효능시험을 충족한 뒤 반영합니다.</x:v>
      </x:c>
      <x:c r="H22" s="62" t="str">
        <x:v>주의: 국립축산과학원 사례는 국내 연구현장에서 사용한 기간을 확인하기 위한 참고이며 가바케어믹스 효능 근거가 아닙니다. 산란계 8주 사례는 조기 점검에 사용할 수 있지만, 20/20 최종 제품근거는 168일 장기 효능시험을 충족한 뒤 반영합니다.</x:v>
      </x:c>
    </x:row>
    <x:row r="23">
      <x:c r="A23" s="62" t="str">
        <x:v>주의: 국립축산과학원 사례는 국내 연구현장에서 사용한 기간을 확인하기 위한 참고이며 가바케어믹스 효능 근거가 아닙니다. 산란계 8주 사례는 조기 점검에 사용할 수 있지만, 20/20 최종 제품근거는 168일 장기 효능시험을 충족한 뒤 반영합니다.</x:v>
      </x:c>
      <x:c r="B23" s="62" t="str">
        <x:v>주의: 국립축산과학원 사례는 국내 연구현장에서 사용한 기간을 확인하기 위한 참고이며 가바케어믹스 효능 근거가 아닙니다. 산란계 8주 사례는 조기 점검에 사용할 수 있지만, 20/20 최종 제품근거는 168일 장기 효능시험을 충족한 뒤 반영합니다.</x:v>
      </x:c>
      <x:c r="C23" s="62" t="str">
        <x:v>주의: 국립축산과학원 사례는 국내 연구현장에서 사용한 기간을 확인하기 위한 참고이며 가바케어믹스 효능 근거가 아닙니다. 산란계 8주 사례는 조기 점검에 사용할 수 있지만, 20/20 최종 제품근거는 168일 장기 효능시험을 충족한 뒤 반영합니다.</x:v>
      </x:c>
      <x:c r="D23" s="62" t="str">
        <x:v>주의: 국립축산과학원 사례는 국내 연구현장에서 사용한 기간을 확인하기 위한 참고이며 가바케어믹스 효능 근거가 아닙니다. 산란계 8주 사례는 조기 점검에 사용할 수 있지만, 20/20 최종 제품근거는 168일 장기 효능시험을 충족한 뒤 반영합니다.</x:v>
      </x:c>
      <x:c r="E23" s="62" t="str">
        <x:v>주의: 국립축산과학원 사례는 국내 연구현장에서 사용한 기간을 확인하기 위한 참고이며 가바케어믹스 효능 근거가 아닙니다. 산란계 8주 사례는 조기 점검에 사용할 수 있지만, 20/20 최종 제품근거는 168일 장기 효능시험을 충족한 뒤 반영합니다.</x:v>
      </x:c>
      <x:c r="F23" s="62" t="str">
        <x:v>주의: 국립축산과학원 사례는 국내 연구현장에서 사용한 기간을 확인하기 위한 참고이며 가바케어믹스 효능 근거가 아닙니다. 산란계 8주 사례는 조기 점검에 사용할 수 있지만, 20/20 최종 제품근거는 168일 장기 효능시험을 충족한 뒤 반영합니다.</x:v>
      </x:c>
      <x:c r="G23" s="62" t="str">
        <x:v>주의: 국립축산과학원 사례는 국내 연구현장에서 사용한 기간을 확인하기 위한 참고이며 가바케어믹스 효능 근거가 아닙니다. 산란계 8주 사례는 조기 점검에 사용할 수 있지만, 20/20 최종 제품근거는 168일 장기 효능시험을 충족한 뒤 반영합니다.</x:v>
      </x:c>
      <x:c r="H23" s="62" t="str">
        <x:v>주의: 국립축산과학원 사례는 국내 연구현장에서 사용한 기간을 확인하기 위한 참고이며 가바케어믹스 효능 근거가 아닙니다. 산란계 8주 사례는 조기 점검에 사용할 수 있지만, 20/20 최종 제품근거는 168일 장기 효능시험을 충족한 뒤 반영합니다.</x:v>
      </x:c>
    </x:row>
  </x:sheetData>
  <x:mergeCells>
    <x:mergeCell ref="A1:H1"/>
    <x:mergeCell ref="A2:H2"/>
    <x:mergeCell ref="A4:H5"/>
    <x:mergeCell ref="A15:H15"/>
    <x:mergeCell ref="A21:H23"/>
  </x:mergeCells>
  <x:dataValidations count="1">
    <x:dataValidation type="list" sqref="H8:H13">
      <x:formula1>"계획 확정 필요,계약 완료,진행 중,완료,중단"</x:formula1>
    </x:dataValidation>
  </x:dataValidations>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defaultRowHeight="15"/>
  <x:cols>
    <x:col min="1" max="1" width="20" hidden="0" customWidth="1"/>
    <x:col min="2" max="2" width="34" hidden="0" customWidth="1"/>
    <x:col min="3" max="3" width="11" hidden="0" customWidth="1"/>
    <x:col min="4" max="4" width="4" hidden="0" customWidth="1"/>
    <x:col min="5" max="5" width="20" hidden="0" customWidth="1"/>
    <x:col min="6" max="6" width="38" hidden="0" customWidth="1"/>
    <x:col min="7" max="7" width="11" hidden="0" customWidth="1"/>
    <x:col min="8" max="8" width="4" hidden="0" customWidth="1"/>
  </x:cols>
  <x:sheetData>
    <x:row r="1" ht="24" hidden="0" customHeight="1">
      <x:c r="A1" s="3" t="str">
        <x:v>APPENDIX · 산식·판정·면책</x:v>
      </x:c>
      <x:c r="B1" s="3" t="str">
        <x:v>APPENDIX · 산식·판정·면책</x:v>
      </x:c>
      <x:c r="C1" s="3" t="str">
        <x:v>APPENDIX · 산식·판정·면책</x:v>
      </x:c>
      <x:c r="D1" s="3" t="str">
        <x:v>APPENDIX · 산식·판정·면책</x:v>
      </x:c>
      <x:c r="E1" s="3" t="str">
        <x:v>APPENDIX · 산식·판정·면책</x:v>
      </x:c>
      <x:c r="F1" s="3" t="str">
        <x:v>APPENDIX · 산식·판정·면책</x:v>
      </x:c>
      <x:c r="G1" s="3" t="str">
        <x:v>APPENDIX · 산식·판정·면책</x:v>
      </x:c>
      <x:c r="H1" s="3" t="str">
        <x:v>APPENDIX · 산식·판정·면책</x:v>
      </x:c>
    </x:row>
    <x:row r="2" ht="15" hidden="0" customHeight="1">
      <x:c r="A2" s="6" t="str">
        <x:v>마지막 시트는 인덱스의 평가 논리를 빠르게 감사할 수 있는 부록</x:v>
      </x:c>
      <x:c r="B2" s="6" t="str">
        <x:v>마지막 시트는 인덱스의 평가 논리를 빠르게 감사할 수 있는 부록</x:v>
      </x:c>
      <x:c r="C2" s="6" t="str">
        <x:v>마지막 시트는 인덱스의 평가 논리를 빠르게 감사할 수 있는 부록</x:v>
      </x:c>
      <x:c r="D2" s="6" t="str">
        <x:v>마지막 시트는 인덱스의 평가 논리를 빠르게 감사할 수 있는 부록</x:v>
      </x:c>
      <x:c r="E2" s="6" t="str">
        <x:v>마지막 시트는 인덱스의 평가 논리를 빠르게 감사할 수 있는 부록</x:v>
      </x:c>
      <x:c r="F2" s="6" t="str">
        <x:v>마지막 시트는 인덱스의 평가 논리를 빠르게 감사할 수 있는 부록</x:v>
      </x:c>
      <x:c r="G2" s="6" t="str">
        <x:v>마지막 시트는 인덱스의 평가 논리를 빠르게 감사할 수 있는 부록</x:v>
      </x:c>
      <x:c r="H2" s="6" t="str">
        <x:v>마지막 시트는 인덱스의 평가 논리를 빠르게 감사할 수 있는 부록</x:v>
      </x:c>
    </x:row>
    <x:row r="3"/>
    <x:row r="4" ht="15" hidden="0" customHeight="1">
      <x:c r="A4" s="46" t="str">
        <x:v>준비도 점수 판정 원칙</x:v>
      </x:c>
      <x:c r="B4" s="46" t="str">
        <x:v>준비도 점수 판정 원칙</x:v>
      </x:c>
      <x:c r="C4" s="46" t="str">
        <x:v>준비도 점수 판정 원칙</x:v>
      </x:c>
      <x:c r="D4" s="46" t="str">
        <x:v>준비도 점수 판정 원칙</x:v>
      </x:c>
      <x:c r="E4" s="46" t="str">
        <x:v>준비도 점수 판정 원칙</x:v>
      </x:c>
      <x:c r="F4" s="46" t="str">
        <x:v>준비도 점수 판정 원칙</x:v>
      </x:c>
      <x:c r="G4" s="46" t="str">
        <x:v>준비도 점수 판정 원칙</x:v>
      </x:c>
      <x:c r="H4" s="46" t="str">
        <x:v>준비도 점수 판정 원칙</x:v>
      </x:c>
    </x:row>
    <x:row r="5" ht="15" hidden="0" customHeight="1">
      <x:c r="A5" s="40" t="str">
        <x:v>규제·품목분류</x:v>
      </x:c>
      <x:c r="B5" s="40" t="str">
        <x:v>분류·등록·표시 문구의 서면 확인</x:v>
      </x:c>
      <x:c r="C5" s="40" t="str">
        <x:v>0~20</x:v>
      </x:c>
      <x:c r="D5" s="40" t="str"/>
      <x:c r="E5" s="40" t="str">
        <x:v>제품근거</x:v>
      </x:c>
      <x:c r="F5" s="40" t="str">
        <x:v>활성함량·안정성·축종별 유효용량·해당 제품의 시험</x:v>
      </x:c>
      <x:c r="G5" s="40" t="str">
        <x:v>0~20</x:v>
      </x:c>
      <x:c r="H5" s="40" t="str"/>
    </x:row>
    <x:row r="6" ht="24" hidden="0" customHeight="1">
      <x:c r="A6" s="49" t="str">
        <x:v>공급·QA</x:v>
      </x:c>
      <x:c r="B6" s="49" t="str">
        <x:v>OEM 실사·CoA·MOQ·리드타임·변경·회수체계</x:v>
      </x:c>
      <x:c r="C6" s="49" t="str">
        <x:v>0~20</x:v>
      </x:c>
      <x:c r="D6" s="49" t="str"/>
      <x:c r="E6" s="49" t="str">
        <x:v>단위경제성</x:v>
      </x:c>
      <x:c r="F6" s="49" t="str">
        <x:v>견적·수율·포장·물류·채널비를 포함한 감사 가능한 산식</x:v>
      </x:c>
      <x:c r="G6" s="49" t="str">
        <x:v>0~20</x:v>
      </x:c>
      <x:c r="H6" s="49" t="str"/>
    </x:row>
    <x:row r="7" ht="15" hidden="0" customHeight="1">
      <x:c r="A7" s="49" t="str">
        <x:v>상업검증</x:v>
      </x:c>
      <x:c r="B7" s="49" t="str">
        <x:v>유료 PoV·반복 PO·해지/중단 기준</x:v>
      </x:c>
      <x:c r="C7" s="49" t="str">
        <x:v>0~20</x:v>
      </x:c>
      <x:c r="D7" s="49" t="str"/>
      <x:c r="E7" s="49" t="str">
        <x:v>총점</x:v>
      </x:c>
      <x:c r="F7" s="49" t="str">
        <x:v>다섯 축 단순 합계</x:v>
      </x:c>
      <x:c r="G7" s="49" t="str">
        <x:v>0~100</x:v>
      </x:c>
      <x:c r="H7" s="49" t="str"/>
    </x:row>
    <x:row r="8" ht="24" hidden="0" customHeight="1">
      <x:c r="A8" s="49" t="str">
        <x:v>점수상향 조건</x:v>
      </x:c>
      <x:c r="B8" s="49" t="str">
        <x:v>새 증빙의 파일·URL·기준일·결론이 Source Register에 연결될 것</x:v>
      </x:c>
      <x:c r="C8" s="49" t="str"/>
      <x:c r="D8" s="49" t="str"/>
      <x:c r="E8" s="49" t="str">
        <x:v>점수하향 조건</x:v>
      </x:c>
      <x:c r="F8" s="49" t="str">
        <x:v>규정 변경·시험 실패·원가 상승·고객 중단 등 반증을 즉시 반영</x:v>
      </x:c>
      <x:c r="G8" s="49" t="str"/>
      <x:c r="H8" s="49" t="str"/>
    </x:row>
    <x:row r="9" ht="24" hidden="0" customHeight="1">
      <x:c r="A9" s="41" t="str">
        <x:v>주의</x:v>
      </x:c>
      <x:c r="B9" s="41" t="str">
        <x:v>예비 점수는 외부 신용평가·투자등급·제품 효능등급이 아님</x:v>
      </x:c>
      <x:c r="C9" s="41" t="str"/>
      <x:c r="D9" s="41" t="str"/>
      <x:c r="E9" s="41" t="str">
        <x:v>기준일</x:v>
      </x:c>
      <x:c r="F9" s="41" t="str">
        <x:v>2026-08-03</x:v>
      </x:c>
      <x:c r="G9" s="41" t="str"/>
      <x:c r="H9" s="41" t="str"/>
    </x:row>
    <x:row r="10"/>
    <x:row r="11" ht="15" hidden="0" customHeight="1">
      <x:c r="A11" s="34" t="str">
        <x:v>가바크루드 생산수율·원가 산정 기준</x:v>
      </x:c>
      <x:c r="B11" s="34" t="str">
        <x:v>가바크루드 생산수율·원가 산정 기준</x:v>
      </x:c>
      <x:c r="C11" s="34" t="str">
        <x:v>가바크루드 생산수율·원가 산정 기준</x:v>
      </x:c>
      <x:c r="D11" s="34" t="str">
        <x:v>가바크루드 생산수율·원가 산정 기준</x:v>
      </x:c>
      <x:c r="E11" s="34" t="str">
        <x:v>가바크루드 생산수율·원가 산정 기준</x:v>
      </x:c>
      <x:c r="F11" s="34" t="str">
        <x:v>가바크루드 생산수율·원가 산정 기준</x:v>
      </x:c>
      <x:c r="G11" s="34" t="str">
        <x:v>가바크루드 생산수율·원가 산정 기준</x:v>
      </x:c>
      <x:c r="H11" s="34" t="str">
        <x:v>가바크루드 생산수율·원가 산정 기준</x:v>
      </x:c>
    </x:row>
    <x:row r="12" ht="15" hidden="0" customHeight="1">
      <x:c r="A12" s="40" t="str">
        <x:v>배양액 1톤</x:v>
      </x:c>
      <x:c r="B12" s="40" t="str">
        <x:v>1,000L×4,000원/L=400만원</x:v>
      </x:c>
      <x:c r="C12" s="40" t="str"/>
      <x:c r="D12" s="40" t="str"/>
      <x:c r="E12" s="40" t="str">
        <x:v>고형분</x:v>
      </x:c>
      <x:c r="F12" s="40" t="str">
        <x:v>30%=300kg</x:v>
      </x:c>
      <x:c r="G12" s="40" t="str"/>
      <x:c r="H12" s="40" t="str"/>
    </x:row>
    <x:row r="13" ht="15" hidden="0" customHeight="1">
      <x:c r="A13" s="49" t="str">
        <x:v>고형분 구성</x:v>
      </x:c>
      <x:c r="B13" s="49" t="str">
        <x:v>GABA 200kg+기타 고형분 100kg=300kg</x:v>
      </x:c>
      <x:c r="C13" s="49" t="str"/>
      <x:c r="D13" s="49" t="str"/>
      <x:c r="E13" s="49" t="str">
        <x:v>말토덱스트린</x:v>
      </x:c>
      <x:c r="F13" s="49" t="str">
        <x:v>1,000kg-300kg=700kg</x:v>
      </x:c>
      <x:c r="G13" s="49" t="str"/>
      <x:c r="H13" s="49" t="str"/>
    </x:row>
    <x:row r="14" ht="15" hidden="0" customHeight="1">
      <x:c r="A14" s="49" t="str">
        <x:v>가바크루드 총생산량</x:v>
      </x:c>
      <x:c r="B14" s="49" t="str">
        <x:v>GABA 200kg÷목표 함량 20%=1,000kg</x:v>
      </x:c>
      <x:c r="C14" s="49" t="str"/>
      <x:c r="D14" s="49" t="str"/>
      <x:c r="E14" s="49" t="str">
        <x:v>확인된 원가 하한</x:v>
      </x:c>
      <x:c r="F14" s="49" t="str">
        <x:v>400만원÷1,000kg=4,000원/kg</x:v>
      </x:c>
      <x:c r="G14" s="49" t="str"/>
      <x:c r="H14" s="49" t="str"/>
    </x:row>
    <x:row r="15" ht="24" hidden="0" customHeight="1">
      <x:c r="A15" s="41" t="str">
        <x:v>최종 매출원가</x:v>
      </x:c>
      <x:c r="B15" s="41" t="str">
        <x:v>(배양액 400만원+말토덱스트린 700kg×단가+건조·검사·포장비)÷1,000kg</x:v>
      </x:c>
      <x:c r="C15" s="41" t="str"/>
      <x:c r="D15" s="41" t="str"/>
      <x:c r="E15" s="41" t="str">
        <x:v>주의</x:v>
      </x:c>
      <x:c r="F15" s="41" t="str">
        <x:v>실제 공정손실은 시험생산 수율로 보정</x:v>
      </x:c>
      <x:c r="G15" s="41" t="str"/>
      <x:c r="H15" s="41" t="str"/>
    </x:row>
    <x:row r="16"/>
    <x:row r="17">
      <x:c r="A17" s="110" t="str">
        <x:v>면책: 30일 목표는 제품·사업 준비와 유료 시험 착수이며 효능을 확정하는 시점이 아닙니다. 생산성·축산물 품질은 축종별 35~168일 이상의 본시험과 출하·비유·산란주기 종료 결과를 함께 보고 판단합니다. 현재 준비도는 확인된 증빙 기준 41점이며, 100점은 규제·제품·공급·실제 원가·유료 반복주문 증빙이 모두 검토된 뒤에만 반영합니다. 법적 품목분류, 표시·광고, 효능·안전성, 공장 적합성과 경제성은 관할기관·전문가·공인 시험기관·실제 견적 및 고객 현장시험으로 확인해야 합니다.</x:v>
      </x:c>
      <x:c r="B17" s="110" t="str">
        <x:v>면책: 30일 목표는 제품·사업 준비와 유료 시험 착수이며 효능을 확정하는 시점이 아닙니다. 생산성·축산물 품질은 축종별 35~168일 이상의 본시험과 출하·비유·산란주기 종료 결과를 함께 보고 판단합니다. 현재 준비도는 확인된 증빙 기준 41점이며, 100점은 규제·제품·공급·실제 원가·유료 반복주문 증빙이 모두 검토된 뒤에만 반영합니다. 법적 품목분류, 표시·광고, 효능·안전성, 공장 적합성과 경제성은 관할기관·전문가·공인 시험기관·실제 견적 및 고객 현장시험으로 확인해야 합니다.</x:v>
      </x:c>
      <x:c r="C17" s="110" t="str">
        <x:v>면책: 30일 목표는 제품·사업 준비와 유료 시험 착수이며 효능을 확정하는 시점이 아닙니다. 생산성·축산물 품질은 축종별 35~168일 이상의 본시험과 출하·비유·산란주기 종료 결과를 함께 보고 판단합니다. 현재 준비도는 확인된 증빙 기준 41점이며, 100점은 규제·제품·공급·실제 원가·유료 반복주문 증빙이 모두 검토된 뒤에만 반영합니다. 법적 품목분류, 표시·광고, 효능·안전성, 공장 적합성과 경제성은 관할기관·전문가·공인 시험기관·실제 견적 및 고객 현장시험으로 확인해야 합니다.</x:v>
      </x:c>
      <x:c r="D17" s="110" t="str">
        <x:v>면책: 30일 목표는 제품·사업 준비와 유료 시험 착수이며 효능을 확정하는 시점이 아닙니다. 생산성·축산물 품질은 축종별 35~168일 이상의 본시험과 출하·비유·산란주기 종료 결과를 함께 보고 판단합니다. 현재 준비도는 확인된 증빙 기준 41점이며, 100점은 규제·제품·공급·실제 원가·유료 반복주문 증빙이 모두 검토된 뒤에만 반영합니다. 법적 품목분류, 표시·광고, 효능·안전성, 공장 적합성과 경제성은 관할기관·전문가·공인 시험기관·실제 견적 및 고객 현장시험으로 확인해야 합니다.</x:v>
      </x:c>
      <x:c r="E17" s="110" t="str">
        <x:v>면책: 30일 목표는 제품·사업 준비와 유료 시험 착수이며 효능을 확정하는 시점이 아닙니다. 생산성·축산물 품질은 축종별 35~168일 이상의 본시험과 출하·비유·산란주기 종료 결과를 함께 보고 판단합니다. 현재 준비도는 확인된 증빙 기준 41점이며, 100점은 규제·제품·공급·실제 원가·유료 반복주문 증빙이 모두 검토된 뒤에만 반영합니다. 법적 품목분류, 표시·광고, 효능·안전성, 공장 적합성과 경제성은 관할기관·전문가·공인 시험기관·실제 견적 및 고객 현장시험으로 확인해야 합니다.</x:v>
      </x:c>
      <x:c r="F17" s="110" t="str">
        <x:v>면책: 30일 목표는 제품·사업 준비와 유료 시험 착수이며 효능을 확정하는 시점이 아닙니다. 생산성·축산물 품질은 축종별 35~168일 이상의 본시험과 출하·비유·산란주기 종료 결과를 함께 보고 판단합니다. 현재 준비도는 확인된 증빙 기준 41점이며, 100점은 규제·제품·공급·실제 원가·유료 반복주문 증빙이 모두 검토된 뒤에만 반영합니다. 법적 품목분류, 표시·광고, 효능·안전성, 공장 적합성과 경제성은 관할기관·전문가·공인 시험기관·실제 견적 및 고객 현장시험으로 확인해야 합니다.</x:v>
      </x:c>
      <x:c r="G17" s="110" t="str">
        <x:v>면책: 30일 목표는 제품·사업 준비와 유료 시험 착수이며 효능을 확정하는 시점이 아닙니다. 생산성·축산물 품질은 축종별 35~168일 이상의 본시험과 출하·비유·산란주기 종료 결과를 함께 보고 판단합니다. 현재 준비도는 확인된 증빙 기준 41점이며, 100점은 규제·제품·공급·실제 원가·유료 반복주문 증빙이 모두 검토된 뒤에만 반영합니다. 법적 품목분류, 표시·광고, 효능·안전성, 공장 적합성과 경제성은 관할기관·전문가·공인 시험기관·실제 견적 및 고객 현장시험으로 확인해야 합니다.</x:v>
      </x:c>
      <x:c r="H17" s="110" t="str">
        <x:v>면책: 30일 목표는 제품·사업 준비와 유료 시험 착수이며 효능을 확정하는 시점이 아닙니다. 생산성·축산물 품질은 축종별 35~168일 이상의 본시험과 출하·비유·산란주기 종료 결과를 함께 보고 판단합니다. 현재 준비도는 확인된 증빙 기준 41점이며, 100점은 규제·제품·공급·실제 원가·유료 반복주문 증빙이 모두 검토된 뒤에만 반영합니다. 법적 품목분류, 표시·광고, 효능·안전성, 공장 적합성과 경제성은 관할기관·전문가·공인 시험기관·실제 견적 및 고객 현장시험으로 확인해야 합니다.</x:v>
      </x:c>
    </x:row>
    <x:row r="18">
      <x:c r="A18" s="110" t="str">
        <x:v>면책: 30일 목표는 제품·사업 준비와 유료 시험 착수이며 효능을 확정하는 시점이 아닙니다. 생산성·축산물 품질은 축종별 35~168일 이상의 본시험과 출하·비유·산란주기 종료 결과를 함께 보고 판단합니다. 현재 준비도는 확인된 증빙 기준 41점이며, 100점은 규제·제품·공급·실제 원가·유료 반복주문 증빙이 모두 검토된 뒤에만 반영합니다. 법적 품목분류, 표시·광고, 효능·안전성, 공장 적합성과 경제성은 관할기관·전문가·공인 시험기관·실제 견적 및 고객 현장시험으로 확인해야 합니다.</x:v>
      </x:c>
      <x:c r="B18" s="110" t="str">
        <x:v>면책: 30일 목표는 제품·사업 준비와 유료 시험 착수이며 효능을 확정하는 시점이 아닙니다. 생산성·축산물 품질은 축종별 35~168일 이상의 본시험과 출하·비유·산란주기 종료 결과를 함께 보고 판단합니다. 현재 준비도는 확인된 증빙 기준 41점이며, 100점은 규제·제품·공급·실제 원가·유료 반복주문 증빙이 모두 검토된 뒤에만 반영합니다. 법적 품목분류, 표시·광고, 효능·안전성, 공장 적합성과 경제성은 관할기관·전문가·공인 시험기관·실제 견적 및 고객 현장시험으로 확인해야 합니다.</x:v>
      </x:c>
      <x:c r="C18" s="110" t="str">
        <x:v>면책: 30일 목표는 제품·사업 준비와 유료 시험 착수이며 효능을 확정하는 시점이 아닙니다. 생산성·축산물 품질은 축종별 35~168일 이상의 본시험과 출하·비유·산란주기 종료 결과를 함께 보고 판단합니다. 현재 준비도는 확인된 증빙 기준 41점이며, 100점은 규제·제품·공급·실제 원가·유료 반복주문 증빙이 모두 검토된 뒤에만 반영합니다. 법적 품목분류, 표시·광고, 효능·안전성, 공장 적합성과 경제성은 관할기관·전문가·공인 시험기관·실제 견적 및 고객 현장시험으로 확인해야 합니다.</x:v>
      </x:c>
      <x:c r="D18" s="110" t="str">
        <x:v>면책: 30일 목표는 제품·사업 준비와 유료 시험 착수이며 효능을 확정하는 시점이 아닙니다. 생산성·축산물 품질은 축종별 35~168일 이상의 본시험과 출하·비유·산란주기 종료 결과를 함께 보고 판단합니다. 현재 준비도는 확인된 증빙 기준 41점이며, 100점은 규제·제품·공급·실제 원가·유료 반복주문 증빙이 모두 검토된 뒤에만 반영합니다. 법적 품목분류, 표시·광고, 효능·안전성, 공장 적합성과 경제성은 관할기관·전문가·공인 시험기관·실제 견적 및 고객 현장시험으로 확인해야 합니다.</x:v>
      </x:c>
      <x:c r="E18" s="110" t="str">
        <x:v>면책: 30일 목표는 제품·사업 준비와 유료 시험 착수이며 효능을 확정하는 시점이 아닙니다. 생산성·축산물 품질은 축종별 35~168일 이상의 본시험과 출하·비유·산란주기 종료 결과를 함께 보고 판단합니다. 현재 준비도는 확인된 증빙 기준 41점이며, 100점은 규제·제품·공급·실제 원가·유료 반복주문 증빙이 모두 검토된 뒤에만 반영합니다. 법적 품목분류, 표시·광고, 효능·안전성, 공장 적합성과 경제성은 관할기관·전문가·공인 시험기관·실제 견적 및 고객 현장시험으로 확인해야 합니다.</x:v>
      </x:c>
      <x:c r="F18" s="110" t="str">
        <x:v>면책: 30일 목표는 제품·사업 준비와 유료 시험 착수이며 효능을 확정하는 시점이 아닙니다. 생산성·축산물 품질은 축종별 35~168일 이상의 본시험과 출하·비유·산란주기 종료 결과를 함께 보고 판단합니다. 현재 준비도는 확인된 증빙 기준 41점이며, 100점은 규제·제품·공급·실제 원가·유료 반복주문 증빙이 모두 검토된 뒤에만 반영합니다. 법적 품목분류, 표시·광고, 효능·안전성, 공장 적합성과 경제성은 관할기관·전문가·공인 시험기관·실제 견적 및 고객 현장시험으로 확인해야 합니다.</x:v>
      </x:c>
      <x:c r="G18" s="110" t="str">
        <x:v>면책: 30일 목표는 제품·사업 준비와 유료 시험 착수이며 효능을 확정하는 시점이 아닙니다. 생산성·축산물 품질은 축종별 35~168일 이상의 본시험과 출하·비유·산란주기 종료 결과를 함께 보고 판단합니다. 현재 준비도는 확인된 증빙 기준 41점이며, 100점은 규제·제품·공급·실제 원가·유료 반복주문 증빙이 모두 검토된 뒤에만 반영합니다. 법적 품목분류, 표시·광고, 효능·안전성, 공장 적합성과 경제성은 관할기관·전문가·공인 시험기관·실제 견적 및 고객 현장시험으로 확인해야 합니다.</x:v>
      </x:c>
      <x:c r="H18" s="110" t="str">
        <x:v>면책: 30일 목표는 제품·사업 준비와 유료 시험 착수이며 효능을 확정하는 시점이 아닙니다. 생산성·축산물 품질은 축종별 35~168일 이상의 본시험과 출하·비유·산란주기 종료 결과를 함께 보고 판단합니다. 현재 준비도는 확인된 증빙 기준 41점이며, 100점은 규제·제품·공급·실제 원가·유료 반복주문 증빙이 모두 검토된 뒤에만 반영합니다. 법적 품목분류, 표시·광고, 효능·안전성, 공장 적합성과 경제성은 관할기관·전문가·공인 시험기관·실제 견적 및 고객 현장시험으로 확인해야 합니다.</x:v>
      </x:c>
    </x:row>
    <x:row r="19">
      <x:c r="A19" s="110" t="str">
        <x:v>면책: 30일 목표는 제품·사업 준비와 유료 시험 착수이며 효능을 확정하는 시점이 아닙니다. 생산성·축산물 품질은 축종별 35~168일 이상의 본시험과 출하·비유·산란주기 종료 결과를 함께 보고 판단합니다. 현재 준비도는 확인된 증빙 기준 41점이며, 100점은 규제·제품·공급·실제 원가·유료 반복주문 증빙이 모두 검토된 뒤에만 반영합니다. 법적 품목분류, 표시·광고, 효능·안전성, 공장 적합성과 경제성은 관할기관·전문가·공인 시험기관·실제 견적 및 고객 현장시험으로 확인해야 합니다.</x:v>
      </x:c>
      <x:c r="B19" s="110" t="str">
        <x:v>면책: 30일 목표는 제품·사업 준비와 유료 시험 착수이며 효능을 확정하는 시점이 아닙니다. 생산성·축산물 품질은 축종별 35~168일 이상의 본시험과 출하·비유·산란주기 종료 결과를 함께 보고 판단합니다. 현재 준비도는 확인된 증빙 기준 41점이며, 100점은 규제·제품·공급·실제 원가·유료 반복주문 증빙이 모두 검토된 뒤에만 반영합니다. 법적 품목분류, 표시·광고, 효능·안전성, 공장 적합성과 경제성은 관할기관·전문가·공인 시험기관·실제 견적 및 고객 현장시험으로 확인해야 합니다.</x:v>
      </x:c>
      <x:c r="C19" s="110" t="str">
        <x:v>면책: 30일 목표는 제품·사업 준비와 유료 시험 착수이며 효능을 확정하는 시점이 아닙니다. 생산성·축산물 품질은 축종별 35~168일 이상의 본시험과 출하·비유·산란주기 종료 결과를 함께 보고 판단합니다. 현재 준비도는 확인된 증빙 기준 41점이며, 100점은 규제·제품·공급·실제 원가·유료 반복주문 증빙이 모두 검토된 뒤에만 반영합니다. 법적 품목분류, 표시·광고, 효능·안전성, 공장 적합성과 경제성은 관할기관·전문가·공인 시험기관·실제 견적 및 고객 현장시험으로 확인해야 합니다.</x:v>
      </x:c>
      <x:c r="D19" s="110" t="str">
        <x:v>면책: 30일 목표는 제품·사업 준비와 유료 시험 착수이며 효능을 확정하는 시점이 아닙니다. 생산성·축산물 품질은 축종별 35~168일 이상의 본시험과 출하·비유·산란주기 종료 결과를 함께 보고 판단합니다. 현재 준비도는 확인된 증빙 기준 41점이며, 100점은 규제·제품·공급·실제 원가·유료 반복주문 증빙이 모두 검토된 뒤에만 반영합니다. 법적 품목분류, 표시·광고, 효능·안전성, 공장 적합성과 경제성은 관할기관·전문가·공인 시험기관·실제 견적 및 고객 현장시험으로 확인해야 합니다.</x:v>
      </x:c>
      <x:c r="E19" s="110" t="str">
        <x:v>면책: 30일 목표는 제품·사업 준비와 유료 시험 착수이며 효능을 확정하는 시점이 아닙니다. 생산성·축산물 품질은 축종별 35~168일 이상의 본시험과 출하·비유·산란주기 종료 결과를 함께 보고 판단합니다. 현재 준비도는 확인된 증빙 기준 41점이며, 100점은 규제·제품·공급·실제 원가·유료 반복주문 증빙이 모두 검토된 뒤에만 반영합니다. 법적 품목분류, 표시·광고, 효능·안전성, 공장 적합성과 경제성은 관할기관·전문가·공인 시험기관·실제 견적 및 고객 현장시험으로 확인해야 합니다.</x:v>
      </x:c>
      <x:c r="F19" s="110" t="str">
        <x:v>면책: 30일 목표는 제품·사업 준비와 유료 시험 착수이며 효능을 확정하는 시점이 아닙니다. 생산성·축산물 품질은 축종별 35~168일 이상의 본시험과 출하·비유·산란주기 종료 결과를 함께 보고 판단합니다. 현재 준비도는 확인된 증빙 기준 41점이며, 100점은 규제·제품·공급·실제 원가·유료 반복주문 증빙이 모두 검토된 뒤에만 반영합니다. 법적 품목분류, 표시·광고, 효능·안전성, 공장 적합성과 경제성은 관할기관·전문가·공인 시험기관·실제 견적 및 고객 현장시험으로 확인해야 합니다.</x:v>
      </x:c>
      <x:c r="G19" s="110" t="str">
        <x:v>면책: 30일 목표는 제품·사업 준비와 유료 시험 착수이며 효능을 확정하는 시점이 아닙니다. 생산성·축산물 품질은 축종별 35~168일 이상의 본시험과 출하·비유·산란주기 종료 결과를 함께 보고 판단합니다. 현재 준비도는 확인된 증빙 기준 41점이며, 100점은 규제·제품·공급·실제 원가·유료 반복주문 증빙이 모두 검토된 뒤에만 반영합니다. 법적 품목분류, 표시·광고, 효능·안전성, 공장 적합성과 경제성은 관할기관·전문가·공인 시험기관·실제 견적 및 고객 현장시험으로 확인해야 합니다.</x:v>
      </x:c>
      <x:c r="H19" s="110" t="str">
        <x:v>면책: 30일 목표는 제품·사업 준비와 유료 시험 착수이며 효능을 확정하는 시점이 아닙니다. 생산성·축산물 품질은 축종별 35~168일 이상의 본시험과 출하·비유·산란주기 종료 결과를 함께 보고 판단합니다. 현재 준비도는 확인된 증빙 기준 41점이며, 100점은 규제·제품·공급·실제 원가·유료 반복주문 증빙이 모두 검토된 뒤에만 반영합니다. 법적 품목분류, 표시·광고, 효능·안전성, 공장 적합성과 경제성은 관할기관·전문가·공인 시험기관·실제 견적 및 고객 현장시험으로 확인해야 합니다.</x:v>
      </x:c>
    </x:row>
    <x:row r="20">
      <x:c r="A20" s="110" t="str">
        <x:v>면책: 30일 목표는 제품·사업 준비와 유료 시험 착수이며 효능을 확정하는 시점이 아닙니다. 생산성·축산물 품질은 축종별 35~168일 이상의 본시험과 출하·비유·산란주기 종료 결과를 함께 보고 판단합니다. 현재 준비도는 확인된 증빙 기준 41점이며, 100점은 규제·제품·공급·실제 원가·유료 반복주문 증빙이 모두 검토된 뒤에만 반영합니다. 법적 품목분류, 표시·광고, 효능·안전성, 공장 적합성과 경제성은 관할기관·전문가·공인 시험기관·실제 견적 및 고객 현장시험으로 확인해야 합니다.</x:v>
      </x:c>
      <x:c r="B20" s="110" t="str">
        <x:v>면책: 30일 목표는 제품·사업 준비와 유료 시험 착수이며 효능을 확정하는 시점이 아닙니다. 생산성·축산물 품질은 축종별 35~168일 이상의 본시험과 출하·비유·산란주기 종료 결과를 함께 보고 판단합니다. 현재 준비도는 확인된 증빙 기준 41점이며, 100점은 규제·제품·공급·실제 원가·유료 반복주문 증빙이 모두 검토된 뒤에만 반영합니다. 법적 품목분류, 표시·광고, 효능·안전성, 공장 적합성과 경제성은 관할기관·전문가·공인 시험기관·실제 견적 및 고객 현장시험으로 확인해야 합니다.</x:v>
      </x:c>
      <x:c r="C20" s="110" t="str">
        <x:v>면책: 30일 목표는 제품·사업 준비와 유료 시험 착수이며 효능을 확정하는 시점이 아닙니다. 생산성·축산물 품질은 축종별 35~168일 이상의 본시험과 출하·비유·산란주기 종료 결과를 함께 보고 판단합니다. 현재 준비도는 확인된 증빙 기준 41점이며, 100점은 규제·제품·공급·실제 원가·유료 반복주문 증빙이 모두 검토된 뒤에만 반영합니다. 법적 품목분류, 표시·광고, 효능·안전성, 공장 적합성과 경제성은 관할기관·전문가·공인 시험기관·실제 견적 및 고객 현장시험으로 확인해야 합니다.</x:v>
      </x:c>
      <x:c r="D20" s="110" t="str">
        <x:v>면책: 30일 목표는 제품·사업 준비와 유료 시험 착수이며 효능을 확정하는 시점이 아닙니다. 생산성·축산물 품질은 축종별 35~168일 이상의 본시험과 출하·비유·산란주기 종료 결과를 함께 보고 판단합니다. 현재 준비도는 확인된 증빙 기준 41점이며, 100점은 규제·제품·공급·실제 원가·유료 반복주문 증빙이 모두 검토된 뒤에만 반영합니다. 법적 품목분류, 표시·광고, 효능·안전성, 공장 적합성과 경제성은 관할기관·전문가·공인 시험기관·실제 견적 및 고객 현장시험으로 확인해야 합니다.</x:v>
      </x:c>
      <x:c r="E20" s="110" t="str">
        <x:v>면책: 30일 목표는 제품·사업 준비와 유료 시험 착수이며 효능을 확정하는 시점이 아닙니다. 생산성·축산물 품질은 축종별 35~168일 이상의 본시험과 출하·비유·산란주기 종료 결과를 함께 보고 판단합니다. 현재 준비도는 확인된 증빙 기준 41점이며, 100점은 규제·제품·공급·실제 원가·유료 반복주문 증빙이 모두 검토된 뒤에만 반영합니다. 법적 품목분류, 표시·광고, 효능·안전성, 공장 적합성과 경제성은 관할기관·전문가·공인 시험기관·실제 견적 및 고객 현장시험으로 확인해야 합니다.</x:v>
      </x:c>
      <x:c r="F20" s="110" t="str">
        <x:v>면책: 30일 목표는 제품·사업 준비와 유료 시험 착수이며 효능을 확정하는 시점이 아닙니다. 생산성·축산물 품질은 축종별 35~168일 이상의 본시험과 출하·비유·산란주기 종료 결과를 함께 보고 판단합니다. 현재 준비도는 확인된 증빙 기준 41점이며, 100점은 규제·제품·공급·실제 원가·유료 반복주문 증빙이 모두 검토된 뒤에만 반영합니다. 법적 품목분류, 표시·광고, 효능·안전성, 공장 적합성과 경제성은 관할기관·전문가·공인 시험기관·실제 견적 및 고객 현장시험으로 확인해야 합니다.</x:v>
      </x:c>
      <x:c r="G20" s="110" t="str">
        <x:v>면책: 30일 목표는 제품·사업 준비와 유료 시험 착수이며 효능을 확정하는 시점이 아닙니다. 생산성·축산물 품질은 축종별 35~168일 이상의 본시험과 출하·비유·산란주기 종료 결과를 함께 보고 판단합니다. 현재 준비도는 확인된 증빙 기준 41점이며, 100점은 규제·제품·공급·실제 원가·유료 반복주문 증빙이 모두 검토된 뒤에만 반영합니다. 법적 품목분류, 표시·광고, 효능·안전성, 공장 적합성과 경제성은 관할기관·전문가·공인 시험기관·실제 견적 및 고객 현장시험으로 확인해야 합니다.</x:v>
      </x:c>
      <x:c r="H20" s="110" t="str">
        <x:v>면책: 30일 목표는 제품·사업 준비와 유료 시험 착수이며 효능을 확정하는 시점이 아닙니다. 생산성·축산물 품질은 축종별 35~168일 이상의 본시험과 출하·비유·산란주기 종료 결과를 함께 보고 판단합니다. 현재 준비도는 확인된 증빙 기준 41점이며, 100점은 규제·제품·공급·실제 원가·유료 반복주문 증빙이 모두 검토된 뒤에만 반영합니다. 법적 품목분류, 표시·광고, 효능·안전성, 공장 적합성과 경제성은 관할기관·전문가·공인 시험기관·실제 견적 및 고객 현장시험으로 확인해야 합니다.</x:v>
      </x:c>
    </x:row>
  </x:sheetData>
  <x:mergeCells>
    <x:mergeCell ref="A1:H1"/>
    <x:mergeCell ref="A2:H2"/>
    <x:mergeCell ref="A4:H4"/>
    <x:mergeCell ref="A11:H11"/>
    <x:mergeCell ref="A17:H20"/>
  </x:mergeCells>
  <x:pageMargins left="0.7" right="0.7" top="0.75" bottom="0.75" header="0.3" footer="0.3"/>
</x:worksheet>
</file>